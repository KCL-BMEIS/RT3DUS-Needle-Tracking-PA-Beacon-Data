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christianbaker/PycharmProjects/RT3DUS-Needle-Tracking-PA-Beacon-Data/src/figure_8/"/>
    </mc:Choice>
  </mc:AlternateContent>
  <xr:revisionPtr revIDLastSave="0" documentId="13_ncr:1_{C45190B2-E8DE-CC4F-96CC-2E6DFA77AFFC}" xr6:coauthVersionLast="47" xr6:coauthVersionMax="47" xr10:uidLastSave="{00000000-0000-0000-0000-000000000000}"/>
  <bookViews>
    <workbookView xWindow="1240" yWindow="880" windowWidth="30240" windowHeight="1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B16" i="1"/>
  <c r="B17" i="1"/>
  <c r="B20" i="1"/>
  <c r="B21" i="1"/>
  <c r="B18" i="1"/>
  <c r="B19" i="1"/>
  <c r="B23" i="1" l="1"/>
  <c r="D17" i="1"/>
  <c r="C17" i="1"/>
  <c r="E17" i="1"/>
  <c r="F19" i="1"/>
  <c r="F21" i="1"/>
  <c r="F20" i="1"/>
  <c r="F18" i="1"/>
  <c r="F17" i="1"/>
  <c r="D19" i="1"/>
  <c r="D18" i="1"/>
  <c r="D20" i="1"/>
  <c r="D21" i="1"/>
  <c r="E21" i="1"/>
  <c r="E18" i="1"/>
  <c r="E20" i="1"/>
  <c r="E19" i="1"/>
  <c r="C18" i="1"/>
  <c r="C21" i="1"/>
  <c r="C19" i="1"/>
  <c r="C20" i="1"/>
  <c r="G17" i="1"/>
  <c r="G21" i="1"/>
  <c r="G19" i="1"/>
  <c r="G18" i="1"/>
  <c r="G20" i="1"/>
  <c r="H17" i="1"/>
  <c r="I17" i="1"/>
  <c r="H20" i="1"/>
  <c r="H19" i="1"/>
  <c r="H18" i="1"/>
  <c r="H21" i="1"/>
  <c r="I21" i="1"/>
  <c r="I19" i="1"/>
  <c r="I18" i="1"/>
  <c r="I20" i="1"/>
  <c r="K17" i="1"/>
  <c r="L17" i="1"/>
  <c r="J17" i="1"/>
  <c r="M17" i="1"/>
  <c r="K21" i="1"/>
  <c r="K20" i="1"/>
  <c r="K18" i="1"/>
  <c r="K19" i="1"/>
  <c r="M20" i="1"/>
  <c r="M18" i="1"/>
  <c r="M21" i="1"/>
  <c r="M19" i="1"/>
  <c r="L18" i="1"/>
  <c r="L19" i="1"/>
  <c r="L20" i="1"/>
  <c r="L21" i="1"/>
  <c r="J20" i="1"/>
  <c r="J19" i="1"/>
  <c r="J21" i="1"/>
  <c r="J18" i="1"/>
  <c r="E23" i="1" l="1"/>
  <c r="J23" i="1"/>
  <c r="L23" i="1"/>
  <c r="C23" i="1"/>
  <c r="K23" i="1"/>
  <c r="D23" i="1"/>
  <c r="G23" i="1"/>
  <c r="F23" i="1"/>
  <c r="M23" i="1"/>
  <c r="I23" i="1"/>
  <c r="H23" i="1"/>
  <c r="R17" i="1"/>
  <c r="P17" i="1"/>
  <c r="P20" i="1"/>
  <c r="P19" i="1"/>
  <c r="P18" i="1"/>
  <c r="P21" i="1"/>
  <c r="Q17" i="1"/>
  <c r="N17" i="1"/>
  <c r="Q18" i="1"/>
  <c r="Q19" i="1"/>
  <c r="Q21" i="1"/>
  <c r="Q20" i="1"/>
  <c r="N18" i="1"/>
  <c r="N20" i="1"/>
  <c r="N19" i="1"/>
  <c r="N21" i="1"/>
  <c r="R21" i="1"/>
  <c r="R20" i="1"/>
  <c r="R18" i="1"/>
  <c r="R19" i="1"/>
  <c r="O21" i="1"/>
  <c r="O18" i="1"/>
  <c r="O19" i="1"/>
  <c r="O20" i="1"/>
  <c r="O17" i="1"/>
  <c r="O23" i="1" l="1"/>
  <c r="Q23" i="1"/>
  <c r="R23" i="1"/>
  <c r="P23" i="1"/>
  <c r="N23" i="1"/>
</calcChain>
</file>

<file path=xl/sharedStrings.xml><?xml version="1.0" encoding="utf-8"?>
<sst xmlns="http://schemas.openxmlformats.org/spreadsheetml/2006/main" count="243" uniqueCount="51">
  <si>
    <t>Name</t>
  </si>
  <si>
    <t>The trackable stylet fit as well within the introducer needle as the solid stylet</t>
  </si>
  <si>
    <t>It was as easy to withdraw the trackable stylet from the introducer needle as the solid stylet</t>
  </si>
  <si>
    <t>The fibre-optic cable between the trackable stylet and the tracking system did not affect my ability to carry out the procedure</t>
  </si>
  <si>
    <t>The fibre-optic cable between the trackable stylet and tracking system was the right length</t>
  </si>
  <si>
    <t>The presence of the tracking array on the imaging probe did not affect my ability to carry out the procedure</t>
  </si>
  <si>
    <t>Please describe your level of experience with ultrasound-guided needle procedures, and biopsies specifically. You may include your grade, for example "ST1".</t>
  </si>
  <si>
    <t>The ultrasound imaging feed was displayed on the tracking system with suitable image quality</t>
  </si>
  <si>
    <t>Any noticeable latency on the imaging feed did not affect my ability to carry out the procedure</t>
  </si>
  <si>
    <t>The tracking visualisation was clearly visible on top of the ultrasound imaging feed</t>
  </si>
  <si>
    <t>The tracking cursor did not obstruct the ultrasound image in a way that hindered my ability to perform the procedure</t>
  </si>
  <si>
    <t>I could easily interpret the distance of the needle tip from the imaging plane from the tracking visualisation</t>
  </si>
  <si>
    <t>The presence of the tracking visualisation made it easier for me to carry out the procedure</t>
  </si>
  <si>
    <t>Any noticeable latency of the displayed tracked location did not affect my ability to carry out the procedure</t>
  </si>
  <si>
    <t>The update rate of the tracking cursor was appropriate for the procedure</t>
  </si>
  <si>
    <t>The depth of the needle tip within the phantom did not negatively affect the tracking accuracy</t>
  </si>
  <si>
    <t>The insertion angle of the needle did not negatively affect the tracking accuracy</t>
  </si>
  <si>
    <t>The tracking was accurate enough to aid with performing the procedure</t>
  </si>
  <si>
    <t>Agree</t>
  </si>
  <si>
    <t xml:space="preserve">Consultant interventional radiology </t>
  </si>
  <si>
    <t>Strongly agree</t>
  </si>
  <si>
    <t>Somewhat agree</t>
  </si>
  <si>
    <t>Consultant Interventional Radiologist. High level of experience with ultrasound-guided needle procedures.</t>
  </si>
  <si>
    <t>ST2, biopsies done on phantoms only, few US guided drain insertions.</t>
  </si>
  <si>
    <t>Neutral</t>
  </si>
  <si>
    <t>Somewhat disagree</t>
  </si>
  <si>
    <t>ST1
I have done some ascitic and pleural drains under supervision but no biopsies.</t>
  </si>
  <si>
    <t>Disagree</t>
  </si>
  <si>
    <t xml:space="preserve">St5 ir - 200 us procedures </t>
  </si>
  <si>
    <t>Extensive experience (approx 400 image guided biopsies), consultant level</t>
  </si>
  <si>
    <t>clinical Fellow/SpR</t>
  </si>
  <si>
    <t xml:space="preserve">ST4, I've done about 20 US guided needle procedures </t>
  </si>
  <si>
    <t>I have been performing these independently for 5 years</t>
  </si>
  <si>
    <t>Post CCT</t>
  </si>
  <si>
    <t xml:space="preserve">Consultant </t>
  </si>
  <si>
    <t>Stylet Withdrawal Ease</t>
  </si>
  <si>
    <t>Stylet Fit in Needle</t>
  </si>
  <si>
    <t xml:space="preserve">Cable Annoyance </t>
  </si>
  <si>
    <t xml:space="preserve">Cable Length </t>
  </si>
  <si>
    <t xml:space="preserve">Array Annoyance </t>
  </si>
  <si>
    <t xml:space="preserve">Image Quality </t>
  </si>
  <si>
    <t>Satisfactory Latency</t>
  </si>
  <si>
    <t>Track Clarity</t>
  </si>
  <si>
    <t xml:space="preserve">Cursor Annoyance </t>
  </si>
  <si>
    <t>Elevation Clarity</t>
  </si>
  <si>
    <t xml:space="preserve">Satisfactory Latency </t>
  </si>
  <si>
    <t xml:space="preserve">Satisfactory Rate </t>
  </si>
  <si>
    <t>Depth Effect</t>
  </si>
  <si>
    <t>Angle Effect</t>
  </si>
  <si>
    <t>Satisfactory Accuracy</t>
  </si>
  <si>
    <t>Tracking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</si>
</sst>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15" totalsRowShown="0">
  <autoFilter ref="A1:R15" xr:uid="{00000000-0009-0000-0100-000001000000}"/>
  <tableColumns count="18">
    <tableColumn id="5" xr3:uid="{00000000-0010-0000-0000-000005000000}" name="Name" dataDxfId="18"/>
    <tableColumn id="6" xr3:uid="{00000000-0010-0000-0000-000006000000}" name="The trackable stylet fit as well within the introducer needle as the solid stylet" dataDxfId="17"/>
    <tableColumn id="7" xr3:uid="{00000000-0010-0000-0000-000007000000}" name="It was as easy to withdraw the trackable stylet from the introducer needle as the solid stylet" dataDxfId="16"/>
    <tableColumn id="8" xr3:uid="{00000000-0010-0000-0000-000008000000}" name="The fibre-optic cable between the trackable stylet and the tracking system did not affect my ability to carry out the procedure" dataDxfId="15"/>
    <tableColumn id="9" xr3:uid="{00000000-0010-0000-0000-000009000000}" name="The fibre-optic cable between the trackable stylet and tracking system was the right length" dataDxfId="14"/>
    <tableColumn id="10" xr3:uid="{00000000-0010-0000-0000-00000A000000}" name="The presence of the tracking array on the imaging probe did not affect my ability to carry out the procedure" dataDxfId="13"/>
    <tableColumn id="11" xr3:uid="{00000000-0010-0000-0000-00000B000000}" name="Please describe your level of experience with ultrasound-guided needle procedures, and biopsies specifically. You may include your grade, for example &quot;ST1&quot;." dataDxfId="12"/>
    <tableColumn id="13" xr3:uid="{00000000-0010-0000-0000-00000D000000}" name="The ultrasound imaging feed was displayed on the tracking system with suitable image quality" dataDxfId="11"/>
    <tableColumn id="15" xr3:uid="{00000000-0010-0000-0000-00000F000000}" name="Any noticeable latency on the imaging feed did not affect my ability to carry out the procedure" dataDxfId="10"/>
    <tableColumn id="17" xr3:uid="{00000000-0010-0000-0000-000011000000}" name="The tracking visualisation was clearly visible on top of the ultrasound imaging feed" dataDxfId="9"/>
    <tableColumn id="18" xr3:uid="{00000000-0010-0000-0000-000012000000}" name="The tracking cursor did not obstruct the ultrasound image in a way that hindered my ability to perform the procedure" dataDxfId="8"/>
    <tableColumn id="19" xr3:uid="{00000000-0010-0000-0000-000013000000}" name="I could easily interpret the distance of the needle tip from the imaging plane from the tracking visualisation" dataDxfId="7"/>
    <tableColumn id="23" xr3:uid="{00000000-0010-0000-0000-000017000000}" name="The presence of the tracking visualisation made it easier for me to carry out the procedure" dataDxfId="6"/>
    <tableColumn id="26" xr3:uid="{00000000-0010-0000-0000-00001A000000}" name="Any noticeable latency of the displayed tracked location did not affect my ability to carry out the procedure" dataDxfId="5"/>
    <tableColumn id="27" xr3:uid="{00000000-0010-0000-0000-00001B000000}" name="The update rate of the tracking cursor was appropriate for the procedure" dataDxfId="4"/>
    <tableColumn id="28" xr3:uid="{00000000-0010-0000-0000-00001C000000}" name="The depth of the needle tip within the phantom did not negatively affect the tracking accuracy" dataDxfId="3"/>
    <tableColumn id="29" xr3:uid="{00000000-0010-0000-0000-00001D000000}" name="The insertion angle of the needle did not negatively affect the tracking accuracy" dataDxfId="2"/>
    <tableColumn id="30" xr3:uid="{00000000-0010-0000-0000-00001E000000}" name="The tracking was accurate enough to aid with performing the procedur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topLeftCell="L1" workbookViewId="0">
      <selection activeCell="O19" sqref="O19"/>
    </sheetView>
  </sheetViews>
  <sheetFormatPr baseColWidth="10" defaultColWidth="8.83203125" defaultRowHeight="15" x14ac:dyDescent="0.2"/>
  <cols>
    <col min="1" max="8" width="20" bestFit="1" customWidth="1"/>
    <col min="9" max="9" width="37.83203125" customWidth="1"/>
    <col min="10" max="11" width="20" bestFit="1" customWidth="1"/>
    <col min="12" max="12" width="64.1640625" customWidth="1"/>
    <col min="13" max="13" width="64" customWidth="1"/>
    <col min="14" max="14" width="20" bestFit="1" customWidth="1"/>
    <col min="15" max="15" width="30.1640625" customWidth="1"/>
    <col min="16" max="17" width="20" bestFit="1" customWidth="1"/>
    <col min="18" max="18" width="34.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19</v>
      </c>
      <c r="H2" t="s">
        <v>18</v>
      </c>
      <c r="I2" t="s">
        <v>18</v>
      </c>
      <c r="J2" t="s">
        <v>18</v>
      </c>
      <c r="K2" t="s">
        <v>20</v>
      </c>
      <c r="L2" t="s">
        <v>18</v>
      </c>
      <c r="M2" t="s">
        <v>20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8" x14ac:dyDescent="0.2">
      <c r="B3" t="s">
        <v>18</v>
      </c>
      <c r="C3" t="s">
        <v>18</v>
      </c>
      <c r="D3" t="s">
        <v>18</v>
      </c>
      <c r="E3" t="s">
        <v>18</v>
      </c>
      <c r="F3" t="s">
        <v>18</v>
      </c>
      <c r="G3" t="s">
        <v>22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21</v>
      </c>
      <c r="P3" t="s">
        <v>18</v>
      </c>
      <c r="Q3" t="s">
        <v>18</v>
      </c>
      <c r="R3" t="s">
        <v>18</v>
      </c>
    </row>
    <row r="4" spans="1:18" x14ac:dyDescent="0.2"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23</v>
      </c>
      <c r="H4" t="s">
        <v>18</v>
      </c>
      <c r="I4" t="s">
        <v>18</v>
      </c>
      <c r="J4" t="s">
        <v>18</v>
      </c>
      <c r="K4" t="s">
        <v>21</v>
      </c>
      <c r="L4" t="s">
        <v>24</v>
      </c>
      <c r="M4" t="s">
        <v>18</v>
      </c>
      <c r="N4" t="s">
        <v>24</v>
      </c>
      <c r="O4" t="s">
        <v>21</v>
      </c>
      <c r="P4" t="s">
        <v>18</v>
      </c>
      <c r="Q4" t="s">
        <v>21</v>
      </c>
      <c r="R4" t="s">
        <v>18</v>
      </c>
    </row>
    <row r="5" spans="1:18" x14ac:dyDescent="0.2">
      <c r="B5" t="s">
        <v>18</v>
      </c>
      <c r="C5" t="s">
        <v>18</v>
      </c>
      <c r="D5" t="s">
        <v>18</v>
      </c>
      <c r="E5" t="s">
        <v>18</v>
      </c>
      <c r="F5" t="s">
        <v>21</v>
      </c>
      <c r="G5" t="s">
        <v>26</v>
      </c>
      <c r="H5" t="s">
        <v>18</v>
      </c>
      <c r="I5" t="s">
        <v>24</v>
      </c>
      <c r="J5" t="s">
        <v>21</v>
      </c>
      <c r="K5" t="s">
        <v>18</v>
      </c>
      <c r="L5" t="s">
        <v>21</v>
      </c>
      <c r="M5" t="s">
        <v>18</v>
      </c>
      <c r="N5" t="s">
        <v>27</v>
      </c>
      <c r="O5" t="s">
        <v>21</v>
      </c>
      <c r="P5" t="s">
        <v>27</v>
      </c>
      <c r="Q5" t="s">
        <v>21</v>
      </c>
      <c r="R5" t="s">
        <v>21</v>
      </c>
    </row>
    <row r="6" spans="1:18" x14ac:dyDescent="0.2">
      <c r="B6" t="s">
        <v>18</v>
      </c>
      <c r="C6" t="s">
        <v>18</v>
      </c>
      <c r="D6" t="s">
        <v>18</v>
      </c>
      <c r="E6" t="s">
        <v>18</v>
      </c>
      <c r="F6" t="s">
        <v>25</v>
      </c>
      <c r="G6" t="s">
        <v>28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24</v>
      </c>
      <c r="P6" t="s">
        <v>25</v>
      </c>
      <c r="Q6" t="s">
        <v>18</v>
      </c>
      <c r="R6" t="s">
        <v>18</v>
      </c>
    </row>
    <row r="7" spans="1:18" x14ac:dyDescent="0.2"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29</v>
      </c>
      <c r="H7" t="s">
        <v>18</v>
      </c>
      <c r="I7" t="s">
        <v>18</v>
      </c>
      <c r="J7" t="s">
        <v>18</v>
      </c>
      <c r="K7" t="s">
        <v>21</v>
      </c>
      <c r="L7" t="s">
        <v>21</v>
      </c>
      <c r="M7" t="s">
        <v>24</v>
      </c>
      <c r="N7" t="s">
        <v>21</v>
      </c>
      <c r="O7" t="s">
        <v>21</v>
      </c>
      <c r="P7" t="s">
        <v>25</v>
      </c>
      <c r="Q7" t="s">
        <v>24</v>
      </c>
      <c r="R7" t="s">
        <v>21</v>
      </c>
    </row>
    <row r="8" spans="1:18" x14ac:dyDescent="0.2">
      <c r="B8" t="s">
        <v>18</v>
      </c>
      <c r="C8" t="s">
        <v>18</v>
      </c>
      <c r="D8" t="s">
        <v>18</v>
      </c>
      <c r="E8" t="s">
        <v>18</v>
      </c>
      <c r="F8" t="s">
        <v>18</v>
      </c>
      <c r="G8" t="s">
        <v>30</v>
      </c>
      <c r="H8" t="s">
        <v>18</v>
      </c>
      <c r="I8" t="s">
        <v>18</v>
      </c>
      <c r="J8" t="s">
        <v>18</v>
      </c>
      <c r="K8" t="s">
        <v>18</v>
      </c>
      <c r="L8" t="s">
        <v>21</v>
      </c>
      <c r="M8" t="s">
        <v>24</v>
      </c>
      <c r="N8" t="s">
        <v>18</v>
      </c>
      <c r="O8" t="s">
        <v>18</v>
      </c>
      <c r="P8" t="s">
        <v>21</v>
      </c>
      <c r="Q8" t="s">
        <v>18</v>
      </c>
      <c r="R8" t="s">
        <v>21</v>
      </c>
    </row>
    <row r="9" spans="1:18" x14ac:dyDescent="0.2">
      <c r="B9" t="s">
        <v>18</v>
      </c>
      <c r="C9" t="s">
        <v>18</v>
      </c>
      <c r="D9" t="s">
        <v>18</v>
      </c>
      <c r="E9" t="s">
        <v>18</v>
      </c>
      <c r="F9" t="s">
        <v>21</v>
      </c>
      <c r="G9" t="s">
        <v>31</v>
      </c>
      <c r="H9" t="s">
        <v>18</v>
      </c>
      <c r="I9" t="s">
        <v>18</v>
      </c>
      <c r="J9" t="s">
        <v>18</v>
      </c>
      <c r="K9" t="s">
        <v>18</v>
      </c>
      <c r="L9" t="s">
        <v>21</v>
      </c>
      <c r="M9" t="s">
        <v>18</v>
      </c>
      <c r="N9" t="s">
        <v>21</v>
      </c>
      <c r="O9" t="s">
        <v>18</v>
      </c>
      <c r="P9" t="s">
        <v>27</v>
      </c>
      <c r="Q9" t="s">
        <v>18</v>
      </c>
      <c r="R9" t="s">
        <v>18</v>
      </c>
    </row>
    <row r="10" spans="1:18" x14ac:dyDescent="0.2">
      <c r="B10" t="s">
        <v>21</v>
      </c>
      <c r="C10" t="s">
        <v>24</v>
      </c>
      <c r="D10" t="s">
        <v>21</v>
      </c>
      <c r="E10" t="s">
        <v>21</v>
      </c>
      <c r="F10" t="s">
        <v>21</v>
      </c>
      <c r="G10" t="s">
        <v>32</v>
      </c>
      <c r="H10" t="s">
        <v>18</v>
      </c>
      <c r="I10" t="s">
        <v>18</v>
      </c>
      <c r="J10" t="s">
        <v>21</v>
      </c>
      <c r="K10" t="s">
        <v>18</v>
      </c>
      <c r="L10" t="s">
        <v>18</v>
      </c>
      <c r="M10" t="s">
        <v>21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8" x14ac:dyDescent="0.2">
      <c r="B11" t="s">
        <v>18</v>
      </c>
      <c r="C11" t="s">
        <v>21</v>
      </c>
      <c r="D11" t="s">
        <v>18</v>
      </c>
      <c r="E11" t="s">
        <v>21</v>
      </c>
      <c r="F11" t="s">
        <v>21</v>
      </c>
      <c r="G11" t="s">
        <v>33</v>
      </c>
      <c r="H11" t="s">
        <v>18</v>
      </c>
      <c r="I11" t="s">
        <v>21</v>
      </c>
      <c r="J11" t="s">
        <v>21</v>
      </c>
      <c r="K11" t="s">
        <v>24</v>
      </c>
      <c r="L11" t="s">
        <v>21</v>
      </c>
      <c r="M11" t="s">
        <v>21</v>
      </c>
      <c r="N11" t="s">
        <v>21</v>
      </c>
      <c r="O11" t="s">
        <v>18</v>
      </c>
      <c r="P11" t="s">
        <v>21</v>
      </c>
      <c r="Q11" t="s">
        <v>18</v>
      </c>
      <c r="R11" t="s">
        <v>21</v>
      </c>
    </row>
    <row r="12" spans="1:18" x14ac:dyDescent="0.2">
      <c r="B12" t="s">
        <v>18</v>
      </c>
      <c r="C12" t="s">
        <v>18</v>
      </c>
      <c r="D12" t="s">
        <v>18</v>
      </c>
      <c r="E12" t="s">
        <v>18</v>
      </c>
      <c r="F12" t="s">
        <v>18</v>
      </c>
      <c r="G12" t="s">
        <v>34</v>
      </c>
      <c r="H12" t="s">
        <v>18</v>
      </c>
      <c r="I12" t="s">
        <v>21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8" x14ac:dyDescent="0.2">
      <c r="B13" t="s">
        <v>18</v>
      </c>
      <c r="C13" t="s">
        <v>18</v>
      </c>
      <c r="D13" t="s">
        <v>18</v>
      </c>
      <c r="E13" t="s">
        <v>18</v>
      </c>
      <c r="F13" t="s">
        <v>25</v>
      </c>
      <c r="H13" t="s">
        <v>18</v>
      </c>
      <c r="I13" t="s">
        <v>21</v>
      </c>
      <c r="J13" t="s">
        <v>18</v>
      </c>
      <c r="K13" t="s">
        <v>18</v>
      </c>
      <c r="L13" t="s">
        <v>18</v>
      </c>
      <c r="M13" t="s">
        <v>18</v>
      </c>
      <c r="N13" t="s">
        <v>21</v>
      </c>
      <c r="O13" t="s">
        <v>18</v>
      </c>
      <c r="P13" t="s">
        <v>21</v>
      </c>
      <c r="Q13" t="s">
        <v>24</v>
      </c>
      <c r="R13" t="s">
        <v>21</v>
      </c>
    </row>
    <row r="15" spans="1:18" x14ac:dyDescent="0.2">
      <c r="B15" t="s">
        <v>36</v>
      </c>
      <c r="C15" t="s">
        <v>35</v>
      </c>
      <c r="D15" t="s">
        <v>37</v>
      </c>
      <c r="E15" t="s">
        <v>38</v>
      </c>
      <c r="F15" t="s">
        <v>39</v>
      </c>
      <c r="H15" t="s">
        <v>40</v>
      </c>
      <c r="I15" t="s">
        <v>41</v>
      </c>
      <c r="J15" t="s">
        <v>42</v>
      </c>
      <c r="K15" t="s">
        <v>43</v>
      </c>
      <c r="L15" t="s">
        <v>44</v>
      </c>
      <c r="M15" t="s">
        <v>50</v>
      </c>
      <c r="N15" t="s">
        <v>45</v>
      </c>
      <c r="O15" t="s">
        <v>46</v>
      </c>
      <c r="P15" t="s">
        <v>47</v>
      </c>
      <c r="Q15" t="s">
        <v>48</v>
      </c>
      <c r="R15" t="s">
        <v>49</v>
      </c>
    </row>
    <row r="16" spans="1:18" x14ac:dyDescent="0.2">
      <c r="A16" s="1" t="s">
        <v>20</v>
      </c>
      <c r="B16">
        <f>COUNTIF(Table1[The trackable stylet fit as well within the introducer needle as the solid stylet],$A16)</f>
        <v>0</v>
      </c>
      <c r="C16">
        <f>COUNTIF(Table1[It was as easy to withdraw the trackable stylet from the introducer needle as the solid stylet],$A16)</f>
        <v>0</v>
      </c>
      <c r="D16">
        <f>COUNTIF(Table1[The fibre-optic cable between the trackable stylet and the tracking system did not affect my ability to carry out the procedure],$A16)</f>
        <v>0</v>
      </c>
      <c r="E16">
        <f>COUNTIF(Table1[The fibre-optic cable between the trackable stylet and tracking system was the right length],$A16)</f>
        <v>0</v>
      </c>
      <c r="F16">
        <f>COUNTIF(Table1[The presence of the tracking array on the imaging probe did not affect my ability to carry out the procedure],$A16)</f>
        <v>0</v>
      </c>
      <c r="G16">
        <f>COUNTIF(Table1[Please describe your level of experience with ultrasound-guided needle procedures, and biopsies specifically. You may include your grade, for example "ST1".],$A16)</f>
        <v>0</v>
      </c>
      <c r="H16">
        <f>COUNTIF(Table1[The ultrasound imaging feed was displayed on the tracking system with suitable image quality],$A16)</f>
        <v>0</v>
      </c>
      <c r="I16">
        <f>COUNTIF(Table1[Any noticeable latency on the imaging feed did not affect my ability to carry out the procedure],$A16)</f>
        <v>0</v>
      </c>
      <c r="J16">
        <f>COUNTIF(Table1[The tracking visualisation was clearly visible on top of the ultrasound imaging feed],$A16)</f>
        <v>0</v>
      </c>
      <c r="K16">
        <f>COUNTIF(Table1[The tracking cursor did not obstruct the ultrasound image in a way that hindered my ability to perform the procedure],$A16)</f>
        <v>1</v>
      </c>
      <c r="L16">
        <f>COUNTIF(Table1[I could easily interpret the distance of the needle tip from the imaging plane from the tracking visualisation],$A16)</f>
        <v>0</v>
      </c>
      <c r="M16">
        <f>COUNTIF(Table1[The presence of the tracking visualisation made it easier for me to carry out the procedure],$A16)</f>
        <v>1</v>
      </c>
      <c r="N16">
        <f>COUNTIF(Table1[Any noticeable latency of the displayed tracked location did not affect my ability to carry out the procedure],$A16)</f>
        <v>0</v>
      </c>
      <c r="O16">
        <f>COUNTIF(Table1[The update rate of the tracking cursor was appropriate for the procedure],$A16)</f>
        <v>0</v>
      </c>
      <c r="P16">
        <f>COUNTIF(Table1[The depth of the needle tip within the phantom did not negatively affect the tracking accuracy],$A16)</f>
        <v>0</v>
      </c>
      <c r="Q16">
        <f>COUNTIF(Table1[The insertion angle of the needle did not negatively affect the tracking accuracy],$A16)</f>
        <v>0</v>
      </c>
      <c r="R16">
        <f>COUNTIF(Table1[The tracking was accurate enough to aid with performing the procedure],$A16)</f>
        <v>0</v>
      </c>
    </row>
    <row r="17" spans="1:18" x14ac:dyDescent="0.2">
      <c r="A17" s="1" t="s">
        <v>18</v>
      </c>
      <c r="B17">
        <f>COUNTIF(Table1[The trackable stylet fit as well within the introducer needle as the solid stylet],$A17)</f>
        <v>10</v>
      </c>
      <c r="C17">
        <f>COUNTIF(Table1[It was as easy to withdraw the trackable stylet from the introducer needle as the solid stylet],$A17)</f>
        <v>9</v>
      </c>
      <c r="D17">
        <f>COUNTIF(Table1[The fibre-optic cable between the trackable stylet and the tracking system did not affect my ability to carry out the procedure],$A17)</f>
        <v>10</v>
      </c>
      <c r="E17">
        <f>COUNTIF(Table1[The fibre-optic cable between the trackable stylet and tracking system was the right length],$A17)</f>
        <v>9</v>
      </c>
      <c r="F17">
        <f>COUNTIF(Table1[The presence of the tracking array on the imaging probe did not affect my ability to carry out the procedure],$A17)</f>
        <v>5</v>
      </c>
      <c r="G17">
        <f>COUNTIF(Table1[Please describe your level of experience with ultrasound-guided needle procedures, and biopsies specifically. You may include your grade, for example "ST1".],$A17)</f>
        <v>0</v>
      </c>
      <c r="H17">
        <f>COUNTIF(Table1[The ultrasound imaging feed was displayed on the tracking system with suitable image quality],$A17)</f>
        <v>12</v>
      </c>
      <c r="I17">
        <f>COUNTIF(Table1[Any noticeable latency on the imaging feed did not affect my ability to carry out the procedure],$A17)</f>
        <v>8</v>
      </c>
      <c r="J17">
        <f>COUNTIF(Table1[The tracking visualisation was clearly visible on top of the ultrasound imaging feed],$A17)</f>
        <v>9</v>
      </c>
      <c r="K17">
        <f>COUNTIF(Table1[The tracking cursor did not obstruct the ultrasound image in a way that hindered my ability to perform the procedure],$A17)</f>
        <v>8</v>
      </c>
      <c r="L17">
        <f>COUNTIF(Table1[I could easily interpret the distance of the needle tip from the imaging plane from the tracking visualisation],$A17)</f>
        <v>6</v>
      </c>
      <c r="M17">
        <f>COUNTIF(Table1[The presence of the tracking visualisation made it easier for me to carry out the procedure],$A17)</f>
        <v>7</v>
      </c>
      <c r="N17">
        <f>COUNTIF(Table1[Any noticeable latency of the displayed tracked location did not affect my ability to carry out the procedure],$A17)</f>
        <v>6</v>
      </c>
      <c r="O17">
        <f>COUNTIF(Table1[The update rate of the tracking cursor was appropriate for the procedure],$A17)</f>
        <v>7</v>
      </c>
      <c r="P17">
        <f>COUNTIF(Table1[The depth of the needle tip within the phantom did not negatively affect the tracking accuracy],$A17)</f>
        <v>5</v>
      </c>
      <c r="Q17">
        <f>COUNTIF(Table1[The insertion angle of the needle did not negatively affect the tracking accuracy],$A17)</f>
        <v>8</v>
      </c>
      <c r="R17">
        <f>COUNTIF(Table1[The tracking was accurate enough to aid with performing the procedure],$A17)</f>
        <v>7</v>
      </c>
    </row>
    <row r="18" spans="1:18" x14ac:dyDescent="0.2">
      <c r="A18" s="2" t="s">
        <v>21</v>
      </c>
      <c r="B18">
        <f>COUNTIF(Table1[The trackable stylet fit as well within the introducer needle as the solid stylet],$A18)</f>
        <v>2</v>
      </c>
      <c r="C18">
        <f>COUNTIF(Table1[It was as easy to withdraw the trackable stylet from the introducer needle as the solid stylet],$A18)</f>
        <v>2</v>
      </c>
      <c r="D18">
        <f>COUNTIF(Table1[The fibre-optic cable between the trackable stylet and the tracking system did not affect my ability to carry out the procedure],$A18)</f>
        <v>2</v>
      </c>
      <c r="E18">
        <f>COUNTIF(Table1[The fibre-optic cable between the trackable stylet and tracking system was the right length],$A18)</f>
        <v>3</v>
      </c>
      <c r="F18">
        <f>COUNTIF(Table1[The presence of the tracking array on the imaging probe did not affect my ability to carry out the procedure],$A18)</f>
        <v>5</v>
      </c>
      <c r="G18">
        <f>COUNTIF(Table1[Please describe your level of experience with ultrasound-guided needle procedures, and biopsies specifically. You may include your grade, for example "ST1".],$A18)</f>
        <v>0</v>
      </c>
      <c r="H18">
        <f>COUNTIF(Table1[The ultrasound imaging feed was displayed on the tracking system with suitable image quality],$A18)</f>
        <v>0</v>
      </c>
      <c r="I18">
        <f>COUNTIF(Table1[Any noticeable latency on the imaging feed did not affect my ability to carry out the procedure],$A18)</f>
        <v>3</v>
      </c>
      <c r="J18">
        <f>COUNTIF(Table1[The tracking visualisation was clearly visible on top of the ultrasound imaging feed],$A18)</f>
        <v>3</v>
      </c>
      <c r="K18">
        <f>COUNTIF(Table1[The tracking cursor did not obstruct the ultrasound image in a way that hindered my ability to perform the procedure],$A18)</f>
        <v>2</v>
      </c>
      <c r="L18">
        <f>COUNTIF(Table1[I could easily interpret the distance of the needle tip from the imaging plane from the tracking visualisation],$A18)</f>
        <v>5</v>
      </c>
      <c r="M18">
        <f>COUNTIF(Table1[The presence of the tracking visualisation made it easier for me to carry out the procedure],$A18)</f>
        <v>2</v>
      </c>
      <c r="N18">
        <f>COUNTIF(Table1[Any noticeable latency of the displayed tracked location did not affect my ability to carry out the procedure],$A18)</f>
        <v>4</v>
      </c>
      <c r="O18">
        <f>COUNTIF(Table1[The update rate of the tracking cursor was appropriate for the procedure],$A18)</f>
        <v>4</v>
      </c>
      <c r="P18">
        <f>COUNTIF(Table1[The depth of the needle tip within the phantom did not negatively affect the tracking accuracy],$A18)</f>
        <v>3</v>
      </c>
      <c r="Q18">
        <f>COUNTIF(Table1[The insertion angle of the needle did not negatively affect the tracking accuracy],$A18)</f>
        <v>2</v>
      </c>
      <c r="R18">
        <f>COUNTIF(Table1[The tracking was accurate enough to aid with performing the procedure],$A18)</f>
        <v>5</v>
      </c>
    </row>
    <row r="19" spans="1:18" x14ac:dyDescent="0.2">
      <c r="A19" s="2" t="s">
        <v>24</v>
      </c>
      <c r="B19">
        <f>COUNTIF(Table1[The trackable stylet fit as well within the introducer needle as the solid stylet],$A19)</f>
        <v>0</v>
      </c>
      <c r="C19">
        <f>COUNTIF(Table1[It was as easy to withdraw the trackable stylet from the introducer needle as the solid stylet],$A19)</f>
        <v>1</v>
      </c>
      <c r="D19">
        <f>COUNTIF(Table1[The fibre-optic cable between the trackable stylet and the tracking system did not affect my ability to carry out the procedure],$A19)</f>
        <v>0</v>
      </c>
      <c r="E19">
        <f>COUNTIF(Table1[The fibre-optic cable between the trackable stylet and tracking system was the right length],$A19)</f>
        <v>0</v>
      </c>
      <c r="F19">
        <f>COUNTIF(Table1[The presence of the tracking array on the imaging probe did not affect my ability to carry out the procedure],$A19)</f>
        <v>0</v>
      </c>
      <c r="G19">
        <f>COUNTIF(Table1[Please describe your level of experience with ultrasound-guided needle procedures, and biopsies specifically. You may include your grade, for example "ST1".],$A19)</f>
        <v>0</v>
      </c>
      <c r="H19">
        <f>COUNTIF(Table1[The ultrasound imaging feed was displayed on the tracking system with suitable image quality],$A19)</f>
        <v>0</v>
      </c>
      <c r="I19">
        <f>COUNTIF(Table1[Any noticeable latency on the imaging feed did not affect my ability to carry out the procedure],$A19)</f>
        <v>1</v>
      </c>
      <c r="J19">
        <f>COUNTIF(Table1[The tracking visualisation was clearly visible on top of the ultrasound imaging feed],$A19)</f>
        <v>0</v>
      </c>
      <c r="K19">
        <f>COUNTIF(Table1[The tracking cursor did not obstruct the ultrasound image in a way that hindered my ability to perform the procedure],$A19)</f>
        <v>1</v>
      </c>
      <c r="L19">
        <f>COUNTIF(Table1[I could easily interpret the distance of the needle tip from the imaging plane from the tracking visualisation],$A19)</f>
        <v>1</v>
      </c>
      <c r="M19">
        <f>COUNTIF(Table1[The presence of the tracking visualisation made it easier for me to carry out the procedure],$A19)</f>
        <v>2</v>
      </c>
      <c r="N19">
        <f>COUNTIF(Table1[Any noticeable latency of the displayed tracked location did not affect my ability to carry out the procedure],$A19)</f>
        <v>1</v>
      </c>
      <c r="O19">
        <f>COUNTIF(Table1[The update rate of the tracking cursor was appropriate for the procedure],$A19)</f>
        <v>1</v>
      </c>
      <c r="P19">
        <f>COUNTIF(Table1[The depth of the needle tip within the phantom did not negatively affect the tracking accuracy],$A19)</f>
        <v>0</v>
      </c>
      <c r="Q19">
        <f>COUNTIF(Table1[The insertion angle of the needle did not negatively affect the tracking accuracy],$A19)</f>
        <v>2</v>
      </c>
      <c r="R19">
        <f>COUNTIF(Table1[The tracking was accurate enough to aid with performing the procedure],$A19)</f>
        <v>0</v>
      </c>
    </row>
    <row r="20" spans="1:18" x14ac:dyDescent="0.2">
      <c r="A20" s="1" t="s">
        <v>25</v>
      </c>
      <c r="B20">
        <f>COUNTIF(Table1[The trackable stylet fit as well within the introducer needle as the solid stylet],$A20)</f>
        <v>0</v>
      </c>
      <c r="C20">
        <f>COUNTIF(Table1[It was as easy to withdraw the trackable stylet from the introducer needle as the solid stylet],$A20)</f>
        <v>0</v>
      </c>
      <c r="D20">
        <f>COUNTIF(Table1[The fibre-optic cable between the trackable stylet and the tracking system did not affect my ability to carry out the procedure],$A20)</f>
        <v>0</v>
      </c>
      <c r="E20">
        <f>COUNTIF(Table1[The fibre-optic cable between the trackable stylet and tracking system was the right length],$A20)</f>
        <v>0</v>
      </c>
      <c r="F20">
        <f>COUNTIF(Table1[The presence of the tracking array on the imaging probe did not affect my ability to carry out the procedure],$A20)</f>
        <v>2</v>
      </c>
      <c r="G20">
        <f>COUNTIF(Table1[Please describe your level of experience with ultrasound-guided needle procedures, and biopsies specifically. You may include your grade, for example "ST1".],$A20)</f>
        <v>0</v>
      </c>
      <c r="H20">
        <f>COUNTIF(Table1[The ultrasound imaging feed was displayed on the tracking system with suitable image quality],$A20)</f>
        <v>0</v>
      </c>
      <c r="I20">
        <f>COUNTIF(Table1[Any noticeable latency on the imaging feed did not affect my ability to carry out the procedure],$A20)</f>
        <v>0</v>
      </c>
      <c r="J20">
        <f>COUNTIF(Table1[The tracking visualisation was clearly visible on top of the ultrasound imaging feed],$A20)</f>
        <v>0</v>
      </c>
      <c r="K20">
        <f>COUNTIF(Table1[The tracking cursor did not obstruct the ultrasound image in a way that hindered my ability to perform the procedure],$A20)</f>
        <v>0</v>
      </c>
      <c r="L20">
        <f>COUNTIF(Table1[I could easily interpret the distance of the needle tip from the imaging plane from the tracking visualisation],$A20)</f>
        <v>0</v>
      </c>
      <c r="M20">
        <f>COUNTIF(Table1[The presence of the tracking visualisation made it easier for me to carry out the procedure],$A20)</f>
        <v>0</v>
      </c>
      <c r="N20">
        <f>COUNTIF(Table1[Any noticeable latency of the displayed tracked location did not affect my ability to carry out the procedure],$A20)</f>
        <v>0</v>
      </c>
      <c r="O20">
        <f>COUNTIF(Table1[The update rate of the tracking cursor was appropriate for the procedure],$A20)</f>
        <v>0</v>
      </c>
      <c r="P20">
        <f>COUNTIF(Table1[The depth of the needle tip within the phantom did not negatively affect the tracking accuracy],$A20)</f>
        <v>2</v>
      </c>
      <c r="Q20">
        <f>COUNTIF(Table1[The insertion angle of the needle did not negatively affect the tracking accuracy],$A20)</f>
        <v>0</v>
      </c>
      <c r="R20">
        <f>COUNTIF(Table1[The tracking was accurate enough to aid with performing the procedure],$A20)</f>
        <v>0</v>
      </c>
    </row>
    <row r="21" spans="1:18" x14ac:dyDescent="0.2">
      <c r="A21" s="1" t="s">
        <v>27</v>
      </c>
      <c r="B21">
        <f>COUNTIF(Table1[The trackable stylet fit as well within the introducer needle as the solid stylet],$A21)</f>
        <v>0</v>
      </c>
      <c r="C21">
        <f>COUNTIF(Table1[It was as easy to withdraw the trackable stylet from the introducer needle as the solid stylet],$A21)</f>
        <v>0</v>
      </c>
      <c r="D21">
        <f>COUNTIF(Table1[The fibre-optic cable between the trackable stylet and the tracking system did not affect my ability to carry out the procedure],$A21)</f>
        <v>0</v>
      </c>
      <c r="E21">
        <f>COUNTIF(Table1[The fibre-optic cable between the trackable stylet and tracking system was the right length],$A21)</f>
        <v>0</v>
      </c>
      <c r="F21">
        <f>COUNTIF(Table1[The presence of the tracking array on the imaging probe did not affect my ability to carry out the procedure],$A21)</f>
        <v>0</v>
      </c>
      <c r="G21">
        <f>COUNTIF(Table1[Please describe your level of experience with ultrasound-guided needle procedures, and biopsies specifically. You may include your grade, for example "ST1".],$A21)</f>
        <v>0</v>
      </c>
      <c r="H21">
        <f>COUNTIF(Table1[The ultrasound imaging feed was displayed on the tracking system with suitable image quality],$A21)</f>
        <v>0</v>
      </c>
      <c r="I21">
        <f>COUNTIF(Table1[Any noticeable latency on the imaging feed did not affect my ability to carry out the procedure],$A21)</f>
        <v>0</v>
      </c>
      <c r="J21">
        <f>COUNTIF(Table1[The tracking visualisation was clearly visible on top of the ultrasound imaging feed],$A21)</f>
        <v>0</v>
      </c>
      <c r="K21">
        <f>COUNTIF(Table1[The tracking cursor did not obstruct the ultrasound image in a way that hindered my ability to perform the procedure],$A21)</f>
        <v>0</v>
      </c>
      <c r="L21">
        <f>COUNTIF(Table1[I could easily interpret the distance of the needle tip from the imaging plane from the tracking visualisation],$A21)</f>
        <v>0</v>
      </c>
      <c r="M21">
        <f>COUNTIF(Table1[The presence of the tracking visualisation made it easier for me to carry out the procedure],$A21)</f>
        <v>0</v>
      </c>
      <c r="N21">
        <f>COUNTIF(Table1[Any noticeable latency of the displayed tracked location did not affect my ability to carry out the procedure],$A21)</f>
        <v>1</v>
      </c>
      <c r="O21">
        <f>COUNTIF(Table1[The update rate of the tracking cursor was appropriate for the procedure],$A21)</f>
        <v>0</v>
      </c>
      <c r="P21">
        <f>COUNTIF(Table1[The depth of the needle tip within the phantom did not negatively affect the tracking accuracy],$A21)</f>
        <v>2</v>
      </c>
      <c r="Q21">
        <f>COUNTIF(Table1[The insertion angle of the needle did not negatively affect the tracking accuracy],$A21)</f>
        <v>0</v>
      </c>
      <c r="R21">
        <f>COUNTIF(Table1[The tracking was accurate enough to aid with performing the procedure],$A21)</f>
        <v>0</v>
      </c>
    </row>
    <row r="23" spans="1:18" x14ac:dyDescent="0.2">
      <c r="B23">
        <f>SUM(B16:B21)</f>
        <v>12</v>
      </c>
      <c r="C23">
        <f t="shared" ref="C23:R23" si="0">SUM(C16:C21)</f>
        <v>12</v>
      </c>
      <c r="D23">
        <f t="shared" si="0"/>
        <v>12</v>
      </c>
      <c r="E23">
        <f t="shared" si="0"/>
        <v>12</v>
      </c>
      <c r="F23">
        <f t="shared" si="0"/>
        <v>12</v>
      </c>
      <c r="G23">
        <f t="shared" si="0"/>
        <v>0</v>
      </c>
      <c r="H23">
        <f t="shared" si="0"/>
        <v>12</v>
      </c>
      <c r="I23">
        <f t="shared" si="0"/>
        <v>12</v>
      </c>
      <c r="J23">
        <f t="shared" si="0"/>
        <v>12</v>
      </c>
      <c r="K23">
        <f t="shared" si="0"/>
        <v>12</v>
      </c>
      <c r="L23">
        <f t="shared" si="0"/>
        <v>12</v>
      </c>
      <c r="M23">
        <f t="shared" si="0"/>
        <v>12</v>
      </c>
      <c r="N23">
        <f t="shared" si="0"/>
        <v>12</v>
      </c>
      <c r="O23">
        <f t="shared" si="0"/>
        <v>12</v>
      </c>
      <c r="P23">
        <f t="shared" si="0"/>
        <v>12</v>
      </c>
      <c r="Q23">
        <f t="shared" si="0"/>
        <v>12</v>
      </c>
      <c r="R23">
        <f t="shared" si="0"/>
        <v>12</v>
      </c>
    </row>
    <row r="25" spans="1:18" x14ac:dyDescent="0.2">
      <c r="B25" s="1"/>
    </row>
    <row r="26" spans="1:18" x14ac:dyDescent="0.2">
      <c r="B26" s="2"/>
    </row>
    <row r="27" spans="1:18" x14ac:dyDescent="0.2">
      <c r="B27" s="1"/>
    </row>
    <row r="28" spans="1:18" x14ac:dyDescent="0.2">
      <c r="B28" s="2"/>
    </row>
    <row r="29" spans="1:18" x14ac:dyDescent="0.2">
      <c r="B29" s="1"/>
    </row>
    <row r="30" spans="1:18" x14ac:dyDescent="0.2">
      <c r="B30" s="2"/>
    </row>
    <row r="31" spans="1:18" x14ac:dyDescent="0.2">
      <c r="B31" s="1"/>
    </row>
  </sheetData>
  <conditionalFormatting sqref="N2:R13">
    <cfRule type="containsText" dxfId="0" priority="1" operator="containsText" text="disagree">
      <formula>NOT(ISERROR(SEARCH("disagree",N2)))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Baker</cp:lastModifiedBy>
  <dcterms:created xsi:type="dcterms:W3CDTF">2025-07-15T11:43:35Z</dcterms:created>
  <dcterms:modified xsi:type="dcterms:W3CDTF">2025-12-17T11:47:07Z</dcterms:modified>
</cp:coreProperties>
</file>