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christianbaker/PycharmProjects/RT3DUS-Needle-Tracking-PA-Beacon-Data/src/figure_8/"/>
    </mc:Choice>
  </mc:AlternateContent>
  <xr:revisionPtr revIDLastSave="0" documentId="13_ncr:1_{1C4ED5AD-57CB-4046-9772-DEA0A7D312A3}" xr6:coauthVersionLast="47" xr6:coauthVersionMax="47" xr10:uidLastSave="{00000000-0000-0000-0000-000000000000}"/>
  <bookViews>
    <workbookView xWindow="0" yWindow="760" windowWidth="29040" windowHeight="17520" activeTab="1" xr2:uid="{87A1455A-1C10-BA4D-9B38-17212F7FCD64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2" l="1"/>
  <c r="I5" i="2"/>
  <c r="H6" i="2"/>
  <c r="H5" i="2"/>
  <c r="C67" i="2"/>
  <c r="D67" i="2"/>
  <c r="E67" i="2"/>
  <c r="C68" i="2"/>
  <c r="D68" i="2"/>
  <c r="E68" i="2"/>
  <c r="C69" i="2"/>
  <c r="D69" i="2"/>
  <c r="E69" i="2"/>
  <c r="C70" i="2"/>
  <c r="D70" i="2"/>
  <c r="E70" i="2"/>
  <c r="C71" i="2"/>
  <c r="D71" i="2"/>
  <c r="E71" i="2"/>
  <c r="C72" i="2"/>
  <c r="D72" i="2"/>
  <c r="E72" i="2"/>
  <c r="C73" i="2"/>
  <c r="D73" i="2"/>
  <c r="E73" i="2"/>
  <c r="C74" i="2"/>
  <c r="D74" i="2"/>
  <c r="E74" i="2"/>
  <c r="C75" i="2"/>
  <c r="D75" i="2"/>
  <c r="E75" i="2"/>
  <c r="C76" i="2"/>
  <c r="D76" i="2"/>
  <c r="E76" i="2"/>
  <c r="C77" i="2"/>
  <c r="D77" i="2"/>
  <c r="E77" i="2"/>
  <c r="C78" i="2"/>
  <c r="D78" i="2"/>
  <c r="E78" i="2"/>
  <c r="C60" i="2"/>
  <c r="D60" i="2"/>
  <c r="E60" i="2"/>
  <c r="C61" i="2"/>
  <c r="D61" i="2"/>
  <c r="E61" i="2"/>
  <c r="C62" i="2"/>
  <c r="D62" i="2"/>
  <c r="E62" i="2"/>
  <c r="C63" i="2"/>
  <c r="D63" i="2"/>
  <c r="E63" i="2"/>
  <c r="C64" i="2"/>
  <c r="D64" i="2"/>
  <c r="E64" i="2"/>
  <c r="C65" i="2"/>
  <c r="D65" i="2"/>
  <c r="E65" i="2"/>
  <c r="C66" i="2"/>
  <c r="D66" i="2"/>
  <c r="E66" i="2"/>
  <c r="C54" i="2"/>
  <c r="D54" i="2"/>
  <c r="E54" i="2"/>
  <c r="C55" i="2"/>
  <c r="D55" i="2"/>
  <c r="E55" i="2"/>
  <c r="C56" i="2"/>
  <c r="D56" i="2"/>
  <c r="E56" i="2"/>
  <c r="C57" i="2"/>
  <c r="D57" i="2"/>
  <c r="E57" i="2"/>
  <c r="C58" i="2"/>
  <c r="D58" i="2"/>
  <c r="E58" i="2"/>
  <c r="C59" i="2"/>
  <c r="D59" i="2"/>
  <c r="E59" i="2"/>
  <c r="C48" i="2"/>
  <c r="D48" i="2"/>
  <c r="E48" i="2"/>
  <c r="C49" i="2"/>
  <c r="D49" i="2"/>
  <c r="E49" i="2"/>
  <c r="C50" i="2"/>
  <c r="D50" i="2"/>
  <c r="E50" i="2"/>
  <c r="C51" i="2"/>
  <c r="D51" i="2"/>
  <c r="E51" i="2"/>
  <c r="C52" i="2"/>
  <c r="D52" i="2"/>
  <c r="E52" i="2"/>
  <c r="C53" i="2"/>
  <c r="D53" i="2"/>
  <c r="E53" i="2"/>
  <c r="C43" i="2"/>
  <c r="D43" i="2"/>
  <c r="E43" i="2"/>
  <c r="C44" i="2"/>
  <c r="D44" i="2"/>
  <c r="E44" i="2"/>
  <c r="C45" i="2"/>
  <c r="D45" i="2"/>
  <c r="E45" i="2"/>
  <c r="C46" i="2"/>
  <c r="D46" i="2"/>
  <c r="E46" i="2"/>
  <c r="C47" i="2"/>
  <c r="D47" i="2"/>
  <c r="E47" i="2"/>
  <c r="E33" i="2"/>
  <c r="E34" i="2"/>
  <c r="E35" i="2"/>
  <c r="E36" i="2"/>
  <c r="E37" i="2"/>
  <c r="E38" i="2"/>
  <c r="E39" i="2"/>
  <c r="E40" i="2"/>
  <c r="E41" i="2"/>
  <c r="E42" i="2"/>
  <c r="E32" i="2"/>
  <c r="D33" i="2"/>
  <c r="D34" i="2"/>
  <c r="D35" i="2"/>
  <c r="D36" i="2"/>
  <c r="D37" i="2"/>
  <c r="D38" i="2"/>
  <c r="D39" i="2"/>
  <c r="D40" i="2"/>
  <c r="D41" i="2"/>
  <c r="D42" i="2"/>
  <c r="D32" i="2"/>
  <c r="C33" i="2"/>
  <c r="C34" i="2"/>
  <c r="C35" i="2"/>
  <c r="C36" i="2"/>
  <c r="C37" i="2"/>
  <c r="C38" i="2"/>
  <c r="C39" i="2"/>
  <c r="C40" i="2"/>
  <c r="C41" i="2"/>
  <c r="C42" i="2"/>
  <c r="C32" i="2"/>
  <c r="C20" i="2"/>
  <c r="D20" i="2"/>
  <c r="E20" i="2"/>
  <c r="C21" i="2"/>
  <c r="D21" i="2"/>
  <c r="E21" i="2"/>
  <c r="C22" i="2"/>
  <c r="D22" i="2"/>
  <c r="E22" i="2"/>
  <c r="C23" i="2"/>
  <c r="D23" i="2"/>
  <c r="E23" i="2"/>
  <c r="C24" i="2"/>
  <c r="D24" i="2"/>
  <c r="E24" i="2"/>
  <c r="C25" i="2"/>
  <c r="D25" i="2"/>
  <c r="E25" i="2"/>
  <c r="C26" i="2"/>
  <c r="D26" i="2"/>
  <c r="E26" i="2"/>
  <c r="C27" i="2"/>
  <c r="D27" i="2"/>
  <c r="E27" i="2"/>
  <c r="C28" i="2"/>
  <c r="D28" i="2"/>
  <c r="E28" i="2"/>
  <c r="C29" i="2"/>
  <c r="D29" i="2"/>
  <c r="E29" i="2"/>
  <c r="C30" i="2"/>
  <c r="D30" i="2"/>
  <c r="E30" i="2"/>
  <c r="C31" i="2"/>
  <c r="D31" i="2"/>
  <c r="E31" i="2"/>
  <c r="E14" i="2"/>
  <c r="E15" i="2"/>
  <c r="E16" i="2"/>
  <c r="E17" i="2"/>
  <c r="E18" i="2"/>
  <c r="E19" i="2"/>
  <c r="D14" i="2"/>
  <c r="D15" i="2"/>
  <c r="D16" i="2"/>
  <c r="D17" i="2"/>
  <c r="D18" i="2"/>
  <c r="D19" i="2"/>
  <c r="C14" i="2"/>
  <c r="C15" i="2"/>
  <c r="C16" i="2"/>
  <c r="C17" i="2"/>
  <c r="C18" i="2"/>
  <c r="C19" i="2"/>
  <c r="E8" i="2"/>
  <c r="E9" i="2"/>
  <c r="E10" i="2"/>
  <c r="E11" i="2"/>
  <c r="E12" i="2"/>
  <c r="E13" i="2"/>
  <c r="D8" i="2"/>
  <c r="D9" i="2"/>
  <c r="D10" i="2"/>
  <c r="D11" i="2"/>
  <c r="D12" i="2"/>
  <c r="D13" i="2"/>
  <c r="C8" i="2"/>
  <c r="C9" i="2"/>
  <c r="C10" i="2"/>
  <c r="C11" i="2"/>
  <c r="C12" i="2"/>
  <c r="C13" i="2"/>
  <c r="C3" i="2"/>
  <c r="D3" i="2"/>
  <c r="E3" i="2"/>
  <c r="C4" i="2"/>
  <c r="D4" i="2"/>
  <c r="E4" i="2"/>
  <c r="C5" i="2"/>
  <c r="D5" i="2"/>
  <c r="E5" i="2"/>
  <c r="C6" i="2"/>
  <c r="D6" i="2"/>
  <c r="E6" i="2"/>
  <c r="C7" i="2"/>
  <c r="D7" i="2"/>
  <c r="E7" i="2"/>
  <c r="E2" i="2"/>
  <c r="D2" i="2"/>
  <c r="J6" i="2" s="1"/>
  <c r="C2" i="2"/>
  <c r="K42" i="1"/>
  <c r="K41" i="1"/>
  <c r="H83" i="1"/>
  <c r="H84" i="1"/>
  <c r="H85" i="1"/>
  <c r="H86" i="1"/>
  <c r="H87" i="1"/>
  <c r="H82" i="1"/>
  <c r="H77" i="1"/>
  <c r="H78" i="1"/>
  <c r="H79" i="1"/>
  <c r="H80" i="1"/>
  <c r="H81" i="1"/>
  <c r="H76" i="1"/>
  <c r="H70" i="1"/>
  <c r="H71" i="1"/>
  <c r="H72" i="1"/>
  <c r="H73" i="1"/>
  <c r="H74" i="1"/>
  <c r="H75" i="1"/>
  <c r="H69" i="1"/>
  <c r="H64" i="1"/>
  <c r="H65" i="1"/>
  <c r="H66" i="1"/>
  <c r="H67" i="1"/>
  <c r="H68" i="1"/>
  <c r="H63" i="1"/>
  <c r="H58" i="1"/>
  <c r="H59" i="1"/>
  <c r="H60" i="1"/>
  <c r="H61" i="1"/>
  <c r="H62" i="1"/>
  <c r="H57" i="1"/>
  <c r="H53" i="1"/>
  <c r="H54" i="1"/>
  <c r="H55" i="1"/>
  <c r="H56" i="1"/>
  <c r="H52" i="1"/>
  <c r="H42" i="1"/>
  <c r="H43" i="1"/>
  <c r="H44" i="1"/>
  <c r="H45" i="1"/>
  <c r="H46" i="1"/>
  <c r="H47" i="1"/>
  <c r="H48" i="1"/>
  <c r="H49" i="1"/>
  <c r="H50" i="1"/>
  <c r="H51" i="1"/>
  <c r="H41" i="1"/>
  <c r="G33" i="1"/>
  <c r="G32" i="1"/>
  <c r="G31" i="1"/>
  <c r="G30" i="1"/>
  <c r="G29" i="1"/>
  <c r="G28" i="1"/>
  <c r="G27" i="1"/>
  <c r="G26" i="1"/>
  <c r="G25" i="1"/>
  <c r="G24" i="1"/>
  <c r="G5" i="1"/>
  <c r="G6" i="1"/>
  <c r="G7" i="1"/>
  <c r="G8" i="1"/>
  <c r="L4" i="1" s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4" i="1"/>
  <c r="L5" i="1" s="1"/>
  <c r="J5" i="2" l="1"/>
</calcChain>
</file>

<file path=xl/sharedStrings.xml><?xml version="1.0" encoding="utf-8"?>
<sst xmlns="http://schemas.openxmlformats.org/spreadsheetml/2006/main" count="340" uniqueCount="41">
  <si>
    <t>user</t>
  </si>
  <si>
    <t>insertion</t>
  </si>
  <si>
    <t>tracked?</t>
  </si>
  <si>
    <t>lesion</t>
  </si>
  <si>
    <t>t0</t>
  </si>
  <si>
    <t>t1</t>
  </si>
  <si>
    <t>dt</t>
  </si>
  <si>
    <t>P/F</t>
  </si>
  <si>
    <t>num punctures</t>
  </si>
  <si>
    <t>consultant 2</t>
  </si>
  <si>
    <t>N</t>
  </si>
  <si>
    <t>F</t>
  </si>
  <si>
    <t>Y</t>
  </si>
  <si>
    <t>P</t>
  </si>
  <si>
    <t>st5</t>
  </si>
  <si>
    <t>st1</t>
  </si>
  <si>
    <t>st2</t>
  </si>
  <si>
    <t>Stright tthgough the lesion and out the other side!</t>
  </si>
  <si>
    <t>consultant 1</t>
  </si>
  <si>
    <t>tracked</t>
  </si>
  <si>
    <t>ST4</t>
  </si>
  <si>
    <t>fellow (SPR)</t>
  </si>
  <si>
    <t>ST3</t>
  </si>
  <si>
    <t>ST6</t>
  </si>
  <si>
    <t>Consultant 1</t>
  </si>
  <si>
    <t>ST6 2</t>
  </si>
  <si>
    <t>Tracking Enabled</t>
  </si>
  <si>
    <t>Pass/Fail</t>
  </si>
  <si>
    <t>Duration</t>
  </si>
  <si>
    <t>Participant Grade</t>
  </si>
  <si>
    <t>Participant ID</t>
  </si>
  <si>
    <t>Consultant</t>
  </si>
  <si>
    <t>ST5</t>
  </si>
  <si>
    <t>ST1</t>
  </si>
  <si>
    <t>ST2</t>
  </si>
  <si>
    <t>SpR</t>
  </si>
  <si>
    <t>Tracked</t>
  </si>
  <si>
    <t>Untracked</t>
  </si>
  <si>
    <t>Not Consultant</t>
  </si>
  <si>
    <t>All</t>
  </si>
  <si>
    <t>FAILURE 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</si>
</sst>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%"/>
    <numFmt numFmtId="166" formatCode="0.000000000000%"/>
  </numFmts>
  <fonts count="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49998474074526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164" fontId="0" fillId="0" borderId="0" xfId="0" applyNumberFormat="1"/>
    <xf numFmtId="2" fontId="0" fillId="0" borderId="0" xfId="0" applyNumberFormat="1"/>
    <xf numFmtId="0" fontId="0" fillId="2" borderId="0" xfId="0" applyFill="1"/>
    <xf numFmtId="164" fontId="0" fillId="2" borderId="0" xfId="0" applyNumberFormat="1" applyFill="1"/>
    <xf numFmtId="0" fontId="0" fillId="3" borderId="0" xfId="0" applyFill="1"/>
    <xf numFmtId="164" fontId="0" fillId="3" borderId="0" xfId="0" applyNumberFormat="1" applyFill="1"/>
    <xf numFmtId="21" fontId="0" fillId="2" borderId="0" xfId="0" applyNumberFormat="1" applyFill="1"/>
    <xf numFmtId="2" fontId="0" fillId="3" borderId="0" xfId="0" applyNumberFormat="1" applyFill="1"/>
    <xf numFmtId="166" fontId="0" fillId="0" borderId="0" xfId="0" applyNumberFormat="1"/>
    <xf numFmtId="0" fontId="4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3" fillId="0" borderId="0" xfId="0" applyFont="1" applyBorder="1"/>
    <xf numFmtId="0" fontId="3" fillId="0" borderId="5" xfId="0" applyFont="1" applyBorder="1"/>
    <xf numFmtId="165" fontId="0" fillId="0" borderId="0" xfId="1" applyNumberFormat="1" applyFont="1" applyBorder="1"/>
    <xf numFmtId="165" fontId="0" fillId="0" borderId="7" xfId="1" applyNumberFormat="1" applyFont="1" applyBorder="1"/>
    <xf numFmtId="165" fontId="0" fillId="0" borderId="5" xfId="1" applyNumberFormat="1" applyFont="1" applyBorder="1"/>
    <xf numFmtId="165" fontId="0" fillId="0" borderId="8" xfId="1" applyNumberFormat="1" applyFont="1" applyBorder="1"/>
    <xf numFmtId="0" fontId="3" fillId="0" borderId="4" xfId="0" applyFont="1" applyBorder="1"/>
    <xf numFmtId="0" fontId="3" fillId="0" borderId="6" xfId="0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F76AC-39D2-7443-B0F2-BE4DA8F6369F}">
  <dimension ref="A2:L87"/>
  <sheetViews>
    <sheetView topLeftCell="A74" workbookViewId="0">
      <selection activeCell="D75" sqref="D75"/>
    </sheetView>
  </sheetViews>
  <sheetFormatPr baseColWidth="10" defaultColWidth="11" defaultRowHeight="16" x14ac:dyDescent="0.2"/>
  <cols>
    <col min="1" max="1" width="12.83203125" customWidth="1"/>
    <col min="2" max="4" width="15" customWidth="1"/>
    <col min="5" max="5" width="15.33203125" customWidth="1"/>
    <col min="6" max="7" width="14.5" customWidth="1"/>
    <col min="9" max="9" width="18.5" customWidth="1"/>
    <col min="12" max="12" width="21.6640625" customWidth="1"/>
  </cols>
  <sheetData>
    <row r="2" spans="1:12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4" spans="1:12" x14ac:dyDescent="0.2">
      <c r="A4" s="5" t="s">
        <v>9</v>
      </c>
      <c r="B4" s="5">
        <v>1</v>
      </c>
      <c r="C4" s="5" t="s">
        <v>10</v>
      </c>
      <c r="D4" s="5">
        <v>5</v>
      </c>
      <c r="E4" s="6">
        <v>0.4806510532407407</v>
      </c>
      <c r="F4" s="6">
        <v>0.4808101851851852</v>
      </c>
      <c r="G4" s="6">
        <f>F4-E4</f>
        <v>1.5913194444450163E-4</v>
      </c>
      <c r="H4" s="5" t="s">
        <v>11</v>
      </c>
      <c r="I4" s="5">
        <v>1</v>
      </c>
      <c r="K4" t="s">
        <v>12</v>
      </c>
      <c r="L4" s="1">
        <f>AVERAGEIF(C$4:C$33, K4, G$4:G$33)</f>
        <v>3.9969135802469711E-4</v>
      </c>
    </row>
    <row r="5" spans="1:12" x14ac:dyDescent="0.2">
      <c r="A5" s="5" t="s">
        <v>9</v>
      </c>
      <c r="B5" s="5">
        <v>2</v>
      </c>
      <c r="C5" s="5" t="s">
        <v>12</v>
      </c>
      <c r="D5" s="5">
        <v>3</v>
      </c>
      <c r="E5" s="6">
        <v>0.48234953703703703</v>
      </c>
      <c r="F5" s="6">
        <v>0.48259259259259257</v>
      </c>
      <c r="G5" s="6">
        <f t="shared" ref="G5:G33" si="0">F5-E5</f>
        <v>2.4305555555553804E-4</v>
      </c>
      <c r="H5" s="5" t="s">
        <v>13</v>
      </c>
      <c r="I5" s="5">
        <v>1</v>
      </c>
      <c r="K5" t="s">
        <v>10</v>
      </c>
      <c r="L5" s="1">
        <f>AVERAGEIF(C$4:C$27, K5, G$4:G$27)</f>
        <v>4.1642457561729779E-4</v>
      </c>
    </row>
    <row r="6" spans="1:12" x14ac:dyDescent="0.2">
      <c r="A6" s="5" t="s">
        <v>9</v>
      </c>
      <c r="B6" s="5">
        <v>3</v>
      </c>
      <c r="C6" s="5" t="s">
        <v>10</v>
      </c>
      <c r="D6" s="5">
        <v>2</v>
      </c>
      <c r="E6" s="6">
        <v>0.48858796296296297</v>
      </c>
      <c r="F6" s="6">
        <v>0.48866898148148147</v>
      </c>
      <c r="G6" s="6">
        <f t="shared" si="0"/>
        <v>8.1018518518494176E-5</v>
      </c>
      <c r="H6" s="5" t="s">
        <v>13</v>
      </c>
      <c r="I6" s="5">
        <v>1</v>
      </c>
    </row>
    <row r="7" spans="1:12" x14ac:dyDescent="0.2">
      <c r="A7" s="5" t="s">
        <v>9</v>
      </c>
      <c r="B7" s="5">
        <v>4</v>
      </c>
      <c r="C7" s="5" t="s">
        <v>10</v>
      </c>
      <c r="D7" s="5">
        <v>6</v>
      </c>
      <c r="E7" s="6">
        <v>0.48973379629629632</v>
      </c>
      <c r="F7" s="6">
        <v>0.48983796296296295</v>
      </c>
      <c r="G7" s="6">
        <f t="shared" si="0"/>
        <v>1.0416666666662744E-4</v>
      </c>
      <c r="H7" s="5" t="s">
        <v>13</v>
      </c>
      <c r="I7" s="5">
        <v>1</v>
      </c>
    </row>
    <row r="8" spans="1:12" x14ac:dyDescent="0.2">
      <c r="A8" s="5" t="s">
        <v>9</v>
      </c>
      <c r="B8" s="5">
        <v>5</v>
      </c>
      <c r="C8" s="5" t="s">
        <v>12</v>
      </c>
      <c r="D8" s="5">
        <v>3</v>
      </c>
      <c r="E8" s="6">
        <v>0.49093750000000003</v>
      </c>
      <c r="F8" s="6">
        <v>0.49130787037037038</v>
      </c>
      <c r="G8" s="6">
        <f t="shared" si="0"/>
        <v>3.7037037037035425E-4</v>
      </c>
      <c r="H8" s="5" t="s">
        <v>13</v>
      </c>
      <c r="I8" s="5">
        <v>1</v>
      </c>
    </row>
    <row r="9" spans="1:12" x14ac:dyDescent="0.2">
      <c r="A9" s="5" t="s">
        <v>9</v>
      </c>
      <c r="B9" s="5">
        <v>6</v>
      </c>
      <c r="C9" s="5" t="s">
        <v>12</v>
      </c>
      <c r="D9" s="5">
        <v>2</v>
      </c>
      <c r="E9" s="6">
        <v>0.49292824074074076</v>
      </c>
      <c r="F9" s="6">
        <v>0.49328703703703702</v>
      </c>
      <c r="G9" s="6">
        <f t="shared" si="0"/>
        <v>3.5879629629625986E-4</v>
      </c>
      <c r="H9" s="5" t="s">
        <v>13</v>
      </c>
      <c r="I9" s="5">
        <v>1</v>
      </c>
    </row>
    <row r="10" spans="1:12" x14ac:dyDescent="0.2">
      <c r="A10" s="3" t="s">
        <v>14</v>
      </c>
      <c r="B10" s="3">
        <v>1</v>
      </c>
      <c r="C10" s="3" t="s">
        <v>10</v>
      </c>
      <c r="D10" s="3">
        <v>6</v>
      </c>
      <c r="E10" s="4">
        <v>0.61046296296296299</v>
      </c>
      <c r="F10" s="4">
        <v>0.61273148148148149</v>
      </c>
      <c r="G10" s="4">
        <f t="shared" si="0"/>
        <v>2.2685185185185031E-3</v>
      </c>
      <c r="H10" s="3" t="s">
        <v>13</v>
      </c>
      <c r="I10" s="3">
        <v>4</v>
      </c>
    </row>
    <row r="11" spans="1:12" x14ac:dyDescent="0.2">
      <c r="A11" s="3" t="s">
        <v>14</v>
      </c>
      <c r="B11" s="3">
        <v>2</v>
      </c>
      <c r="C11" s="3" t="s">
        <v>10</v>
      </c>
      <c r="D11" s="3">
        <v>3</v>
      </c>
      <c r="E11" s="4">
        <v>0.6141550925925926</v>
      </c>
      <c r="F11" s="4">
        <v>0.61423611111111109</v>
      </c>
      <c r="G11" s="4">
        <f t="shared" si="0"/>
        <v>8.1018518518494176E-5</v>
      </c>
      <c r="H11" s="3" t="s">
        <v>13</v>
      </c>
      <c r="I11" s="3">
        <v>1</v>
      </c>
    </row>
    <row r="12" spans="1:12" x14ac:dyDescent="0.2">
      <c r="A12" s="3" t="s">
        <v>14</v>
      </c>
      <c r="B12" s="3">
        <v>3</v>
      </c>
      <c r="C12" s="3" t="s">
        <v>10</v>
      </c>
      <c r="D12" s="3">
        <v>1</v>
      </c>
      <c r="E12" s="4">
        <v>0.61525462962962962</v>
      </c>
      <c r="F12" s="4">
        <v>0.61556712962962967</v>
      </c>
      <c r="G12" s="4">
        <f t="shared" si="0"/>
        <v>3.1250000000004885E-4</v>
      </c>
      <c r="H12" s="3" t="s">
        <v>13</v>
      </c>
      <c r="I12" s="3">
        <v>1</v>
      </c>
    </row>
    <row r="13" spans="1:12" x14ac:dyDescent="0.2">
      <c r="A13" s="3" t="s">
        <v>14</v>
      </c>
      <c r="B13" s="3">
        <v>4</v>
      </c>
      <c r="C13" s="3" t="s">
        <v>12</v>
      </c>
      <c r="D13" s="3">
        <v>2</v>
      </c>
      <c r="E13" s="4">
        <v>0.61656250000000001</v>
      </c>
      <c r="F13" s="4">
        <v>0.61674768518518519</v>
      </c>
      <c r="G13" s="4">
        <f t="shared" si="0"/>
        <v>1.8518518518517713E-4</v>
      </c>
      <c r="H13" s="3" t="s">
        <v>13</v>
      </c>
      <c r="I13" s="3">
        <v>1</v>
      </c>
    </row>
    <row r="14" spans="1:12" x14ac:dyDescent="0.2">
      <c r="A14" s="3" t="s">
        <v>14</v>
      </c>
      <c r="B14" s="3">
        <v>5</v>
      </c>
      <c r="C14" s="3" t="s">
        <v>12</v>
      </c>
      <c r="D14" s="3">
        <v>5</v>
      </c>
      <c r="E14" s="4">
        <v>0.6179513888888889</v>
      </c>
      <c r="F14" s="4">
        <v>0.61833333333333329</v>
      </c>
      <c r="G14" s="4">
        <f t="shared" si="0"/>
        <v>3.8194444444439313E-4</v>
      </c>
      <c r="H14" s="3" t="s">
        <v>13</v>
      </c>
      <c r="I14" s="3">
        <v>1</v>
      </c>
    </row>
    <row r="15" spans="1:12" x14ac:dyDescent="0.2">
      <c r="A15" s="3" t="s">
        <v>14</v>
      </c>
      <c r="B15" s="3">
        <v>6</v>
      </c>
      <c r="C15" s="3" t="s">
        <v>12</v>
      </c>
      <c r="D15" s="3">
        <v>4</v>
      </c>
      <c r="E15" s="7">
        <v>0.61943287037037043</v>
      </c>
      <c r="F15" s="4">
        <v>0.61988425925925927</v>
      </c>
      <c r="G15" s="4">
        <f t="shared" si="0"/>
        <v>4.5138888888884843E-4</v>
      </c>
      <c r="H15" s="3" t="s">
        <v>13</v>
      </c>
      <c r="I15" s="3">
        <v>1</v>
      </c>
    </row>
    <row r="16" spans="1:12" x14ac:dyDescent="0.2">
      <c r="A16" s="5" t="s">
        <v>15</v>
      </c>
      <c r="B16" s="5">
        <v>1</v>
      </c>
      <c r="C16" s="5" t="s">
        <v>12</v>
      </c>
      <c r="D16" s="5">
        <v>3</v>
      </c>
      <c r="E16" s="6">
        <v>0.66473379629629625</v>
      </c>
      <c r="F16" s="6">
        <v>0.66587962962962965</v>
      </c>
      <c r="G16" s="6">
        <f t="shared" si="0"/>
        <v>1.1458333333334014E-3</v>
      </c>
      <c r="H16" s="5" t="s">
        <v>13</v>
      </c>
      <c r="I16" s="5">
        <v>3</v>
      </c>
    </row>
    <row r="17" spans="1:10" x14ac:dyDescent="0.2">
      <c r="A17" s="5" t="s">
        <v>15</v>
      </c>
      <c r="B17" s="5">
        <v>2</v>
      </c>
      <c r="C17" s="5" t="s">
        <v>10</v>
      </c>
      <c r="D17" s="5">
        <v>2</v>
      </c>
      <c r="E17" s="6">
        <v>0.66995370370370366</v>
      </c>
      <c r="F17" s="6">
        <v>0.6700694444444445</v>
      </c>
      <c r="G17" s="6">
        <f t="shared" si="0"/>
        <v>1.1574074074083285E-4</v>
      </c>
      <c r="H17" s="5" t="s">
        <v>11</v>
      </c>
      <c r="I17" s="5">
        <v>1</v>
      </c>
    </row>
    <row r="18" spans="1:10" x14ac:dyDescent="0.2">
      <c r="A18" s="5" t="s">
        <v>15</v>
      </c>
      <c r="B18" s="5">
        <v>3</v>
      </c>
      <c r="C18" s="5" t="s">
        <v>10</v>
      </c>
      <c r="D18" s="5">
        <v>4</v>
      </c>
      <c r="E18" s="6">
        <v>0.68237268518518523</v>
      </c>
      <c r="F18" s="6">
        <v>0.68290509259259258</v>
      </c>
      <c r="G18" s="6">
        <f t="shared" si="0"/>
        <v>5.324074074073426E-4</v>
      </c>
      <c r="H18" s="5" t="s">
        <v>13</v>
      </c>
      <c r="I18" s="5">
        <v>3</v>
      </c>
    </row>
    <row r="19" spans="1:10" x14ac:dyDescent="0.2">
      <c r="A19" s="5" t="s">
        <v>15</v>
      </c>
      <c r="B19" s="5">
        <v>4</v>
      </c>
      <c r="C19" s="5" t="s">
        <v>12</v>
      </c>
      <c r="D19" s="5">
        <v>6</v>
      </c>
      <c r="E19" s="6">
        <v>0.69071759259259258</v>
      </c>
      <c r="F19" s="6">
        <v>0.6912962962962963</v>
      </c>
      <c r="G19" s="6">
        <f t="shared" si="0"/>
        <v>5.7870370370372015E-4</v>
      </c>
      <c r="H19" s="5" t="s">
        <v>13</v>
      </c>
      <c r="I19" s="5">
        <v>1</v>
      </c>
    </row>
    <row r="20" spans="1:10" x14ac:dyDescent="0.2">
      <c r="A20" s="5" t="s">
        <v>15</v>
      </c>
      <c r="B20" s="5">
        <v>5</v>
      </c>
      <c r="C20" s="5" t="s">
        <v>10</v>
      </c>
      <c r="D20" s="5">
        <v>1</v>
      </c>
      <c r="E20" s="6">
        <v>0.69251157407407404</v>
      </c>
      <c r="F20" s="6">
        <v>0.69271990740740741</v>
      </c>
      <c r="G20" s="6">
        <f t="shared" si="0"/>
        <v>2.083333333333659E-4</v>
      </c>
      <c r="H20" s="5" t="s">
        <v>13</v>
      </c>
      <c r="I20" s="5">
        <v>1</v>
      </c>
    </row>
    <row r="21" spans="1:10" x14ac:dyDescent="0.2">
      <c r="A21" s="5" t="s">
        <v>15</v>
      </c>
      <c r="B21" s="5">
        <v>6</v>
      </c>
      <c r="C21" s="5" t="s">
        <v>12</v>
      </c>
      <c r="D21" s="5">
        <v>4</v>
      </c>
      <c r="E21" s="6">
        <v>0.69390046296296293</v>
      </c>
      <c r="F21" s="6">
        <v>0.69423611111111116</v>
      </c>
      <c r="G21" s="6">
        <f t="shared" si="0"/>
        <v>3.3564814814823762E-4</v>
      </c>
      <c r="H21" s="5" t="s">
        <v>13</v>
      </c>
      <c r="I21" s="5">
        <v>1</v>
      </c>
    </row>
    <row r="22" spans="1:10" x14ac:dyDescent="0.2">
      <c r="A22" s="3" t="s">
        <v>16</v>
      </c>
      <c r="B22" s="3">
        <v>1</v>
      </c>
      <c r="C22" s="3" t="s">
        <v>12</v>
      </c>
      <c r="D22" s="3">
        <v>5</v>
      </c>
      <c r="E22" s="7">
        <v>0.62356481481481485</v>
      </c>
      <c r="F22" s="7">
        <v>0.62435185185185182</v>
      </c>
      <c r="G22" s="7">
        <f t="shared" si="0"/>
        <v>7.8703703703697503E-4</v>
      </c>
      <c r="H22" s="3" t="s">
        <v>13</v>
      </c>
      <c r="I22" s="3">
        <v>1</v>
      </c>
    </row>
    <row r="23" spans="1:10" x14ac:dyDescent="0.2">
      <c r="A23" s="3" t="s">
        <v>16</v>
      </c>
      <c r="B23" s="3">
        <v>2</v>
      </c>
      <c r="C23" s="3" t="s">
        <v>10</v>
      </c>
      <c r="D23" s="3">
        <v>5</v>
      </c>
      <c r="E23" s="7">
        <v>0.62677083333333339</v>
      </c>
      <c r="F23" s="7">
        <v>0.62724537037037043</v>
      </c>
      <c r="G23" s="7">
        <f t="shared" si="0"/>
        <v>4.745370370370372E-4</v>
      </c>
      <c r="H23" s="3" t="s">
        <v>13</v>
      </c>
      <c r="I23" s="3">
        <v>1</v>
      </c>
    </row>
    <row r="24" spans="1:10" x14ac:dyDescent="0.2">
      <c r="A24" s="3" t="s">
        <v>16</v>
      </c>
      <c r="B24" s="3">
        <v>3</v>
      </c>
      <c r="C24" s="3" t="s">
        <v>12</v>
      </c>
      <c r="D24" s="3">
        <v>3</v>
      </c>
      <c r="E24" s="7">
        <v>0.65237268518518521</v>
      </c>
      <c r="F24" s="7">
        <v>0.65262731481481484</v>
      </c>
      <c r="G24" s="7">
        <f t="shared" si="0"/>
        <v>2.5462962962963243E-4</v>
      </c>
      <c r="H24" s="3" t="s">
        <v>13</v>
      </c>
      <c r="I24" s="3">
        <v>1</v>
      </c>
    </row>
    <row r="25" spans="1:10" x14ac:dyDescent="0.2">
      <c r="A25" s="3" t="s">
        <v>16</v>
      </c>
      <c r="B25" s="3">
        <v>4</v>
      </c>
      <c r="C25" s="3" t="s">
        <v>10</v>
      </c>
      <c r="D25" s="3">
        <v>3</v>
      </c>
      <c r="E25" s="7">
        <v>0.65416666666666667</v>
      </c>
      <c r="F25" s="7">
        <v>0.65449074074074076</v>
      </c>
      <c r="G25" s="7">
        <f t="shared" si="0"/>
        <v>3.2407407407408773E-4</v>
      </c>
      <c r="H25" s="3" t="s">
        <v>13</v>
      </c>
      <c r="I25" s="3">
        <v>1</v>
      </c>
    </row>
    <row r="26" spans="1:10" x14ac:dyDescent="0.2">
      <c r="A26" s="3" t="s">
        <v>16</v>
      </c>
      <c r="B26" s="3">
        <v>5</v>
      </c>
      <c r="C26" s="3" t="s">
        <v>10</v>
      </c>
      <c r="D26" s="3">
        <v>1</v>
      </c>
      <c r="E26" s="7">
        <v>0.658599537037037</v>
      </c>
      <c r="F26" s="7">
        <v>0.65893518518518523</v>
      </c>
      <c r="G26" s="7">
        <f t="shared" si="0"/>
        <v>3.3564814814823762E-4</v>
      </c>
      <c r="H26" s="3" t="s">
        <v>11</v>
      </c>
      <c r="I26" s="3">
        <v>2</v>
      </c>
      <c r="J26" t="s">
        <v>17</v>
      </c>
    </row>
    <row r="27" spans="1:10" x14ac:dyDescent="0.2">
      <c r="A27" s="3" t="s">
        <v>16</v>
      </c>
      <c r="B27" s="3">
        <v>6</v>
      </c>
      <c r="C27" s="3" t="s">
        <v>12</v>
      </c>
      <c r="D27" s="3">
        <v>2</v>
      </c>
      <c r="E27" s="7">
        <v>0.66042824074074069</v>
      </c>
      <c r="F27" s="7">
        <v>0.66057870370370375</v>
      </c>
      <c r="G27" s="7">
        <f t="shared" si="0"/>
        <v>1.504629629630605E-4</v>
      </c>
      <c r="H27" s="3" t="s">
        <v>13</v>
      </c>
      <c r="I27" s="3"/>
    </row>
    <row r="28" spans="1:10" x14ac:dyDescent="0.2">
      <c r="A28" s="5" t="s">
        <v>18</v>
      </c>
      <c r="B28" s="5">
        <v>1</v>
      </c>
      <c r="C28" s="5" t="s">
        <v>10</v>
      </c>
      <c r="D28" s="5">
        <v>1</v>
      </c>
      <c r="E28" s="6">
        <v>0.44144675925925925</v>
      </c>
      <c r="F28" s="6">
        <v>0.44167824074074075</v>
      </c>
      <c r="G28" s="6">
        <f t="shared" si="0"/>
        <v>2.3148148148149916E-4</v>
      </c>
      <c r="H28" s="5" t="s">
        <v>13</v>
      </c>
      <c r="I28" s="5"/>
    </row>
    <row r="29" spans="1:10" x14ac:dyDescent="0.2">
      <c r="A29" s="5" t="s">
        <v>18</v>
      </c>
      <c r="B29" s="5">
        <v>2</v>
      </c>
      <c r="C29" s="5" t="s">
        <v>12</v>
      </c>
      <c r="D29" s="5">
        <v>3</v>
      </c>
      <c r="E29" s="6">
        <v>0.44751157407407405</v>
      </c>
      <c r="F29" s="6">
        <v>0.44766203703703705</v>
      </c>
      <c r="G29" s="6">
        <f t="shared" si="0"/>
        <v>1.5046296296300499E-4</v>
      </c>
      <c r="H29" s="5" t="s">
        <v>13</v>
      </c>
      <c r="I29" s="5"/>
    </row>
    <row r="30" spans="1:10" x14ac:dyDescent="0.2">
      <c r="A30" s="5" t="s">
        <v>18</v>
      </c>
      <c r="B30" s="5">
        <v>3</v>
      </c>
      <c r="C30" s="5" t="s">
        <v>10</v>
      </c>
      <c r="D30" s="5">
        <v>2</v>
      </c>
      <c r="E30" s="6">
        <v>0.4503125</v>
      </c>
      <c r="F30" s="6">
        <v>0.45053240740740741</v>
      </c>
      <c r="G30" s="6">
        <f t="shared" si="0"/>
        <v>2.1990740740740478E-4</v>
      </c>
      <c r="H30" s="5" t="s">
        <v>13</v>
      </c>
      <c r="I30" s="5"/>
    </row>
    <row r="31" spans="1:10" x14ac:dyDescent="0.2">
      <c r="A31" s="5" t="s">
        <v>18</v>
      </c>
      <c r="B31" s="5">
        <v>4</v>
      </c>
      <c r="C31" s="5" t="s">
        <v>12</v>
      </c>
      <c r="D31" s="5">
        <v>3</v>
      </c>
      <c r="E31" s="6">
        <v>0.45178240740740738</v>
      </c>
      <c r="F31" s="6">
        <v>0.45218750000000002</v>
      </c>
      <c r="G31" s="6">
        <f t="shared" si="0"/>
        <v>4.0509259259263741E-4</v>
      </c>
      <c r="H31" s="5" t="s">
        <v>13</v>
      </c>
      <c r="I31" s="5"/>
    </row>
    <row r="32" spans="1:10" x14ac:dyDescent="0.2">
      <c r="A32" s="5" t="s">
        <v>18</v>
      </c>
      <c r="B32" s="5">
        <v>5</v>
      </c>
      <c r="C32" s="5" t="s">
        <v>12</v>
      </c>
      <c r="D32" s="5">
        <v>5</v>
      </c>
      <c r="E32" s="6">
        <v>0.45494212962962965</v>
      </c>
      <c r="F32" s="6">
        <v>0.45513888888888887</v>
      </c>
      <c r="G32" s="6">
        <f t="shared" si="0"/>
        <v>1.96759259259216E-4</v>
      </c>
      <c r="H32" s="5" t="s">
        <v>13</v>
      </c>
      <c r="I32" s="5"/>
    </row>
    <row r="33" spans="1:11" x14ac:dyDescent="0.2">
      <c r="A33" s="5" t="s">
        <v>18</v>
      </c>
      <c r="B33" s="5">
        <v>6</v>
      </c>
      <c r="C33" s="5" t="s">
        <v>10</v>
      </c>
      <c r="D33" s="5">
        <v>5</v>
      </c>
      <c r="E33" s="6">
        <v>0.45594907407407409</v>
      </c>
      <c r="F33" s="6">
        <v>0.45613425925925927</v>
      </c>
      <c r="G33" s="6">
        <f t="shared" si="0"/>
        <v>1.8518518518517713E-4</v>
      </c>
      <c r="H33" s="5" t="s">
        <v>13</v>
      </c>
      <c r="I33" s="8"/>
    </row>
    <row r="34" spans="1:11" x14ac:dyDescent="0.2">
      <c r="E34" s="1"/>
      <c r="F34" s="1"/>
      <c r="G34" s="6"/>
      <c r="I34" s="2"/>
    </row>
    <row r="35" spans="1:11" x14ac:dyDescent="0.2">
      <c r="E35" s="1"/>
      <c r="F35" s="1"/>
      <c r="G35" s="6"/>
    </row>
    <row r="36" spans="1:11" x14ac:dyDescent="0.2">
      <c r="G36" s="6"/>
    </row>
    <row r="37" spans="1:11" x14ac:dyDescent="0.2">
      <c r="G37" s="1"/>
    </row>
    <row r="38" spans="1:11" x14ac:dyDescent="0.2">
      <c r="G38" s="1"/>
    </row>
    <row r="39" spans="1:11" x14ac:dyDescent="0.2">
      <c r="G39" s="1"/>
    </row>
    <row r="40" spans="1:11" x14ac:dyDescent="0.2">
      <c r="B40" t="s">
        <v>0</v>
      </c>
      <c r="C40" t="s">
        <v>1</v>
      </c>
      <c r="D40" t="s">
        <v>19</v>
      </c>
      <c r="E40" t="s">
        <v>4</v>
      </c>
      <c r="F40" t="s">
        <v>5</v>
      </c>
      <c r="G40" t="s">
        <v>7</v>
      </c>
      <c r="H40" t="s">
        <v>6</v>
      </c>
    </row>
    <row r="41" spans="1:11" x14ac:dyDescent="0.2">
      <c r="A41">
        <v>1</v>
      </c>
      <c r="B41" t="s">
        <v>20</v>
      </c>
      <c r="C41">
        <v>0</v>
      </c>
      <c r="D41" t="s">
        <v>12</v>
      </c>
      <c r="E41" s="1">
        <v>0.47316236111111115</v>
      </c>
      <c r="F41" s="1">
        <v>0.47355375</v>
      </c>
      <c r="G41" s="1" t="s">
        <v>13</v>
      </c>
      <c r="H41" s="1">
        <f>F41-E41</f>
        <v>3.9138888888884393E-4</v>
      </c>
      <c r="J41" t="s">
        <v>12</v>
      </c>
      <c r="K41" s="1">
        <f>AVERAGEIF(D41:D87, J41, H41:H87)</f>
        <v>4.5315345293209008E-4</v>
      </c>
    </row>
    <row r="42" spans="1:11" x14ac:dyDescent="0.2">
      <c r="A42">
        <v>6</v>
      </c>
      <c r="B42" t="s">
        <v>20</v>
      </c>
      <c r="C42">
        <v>1</v>
      </c>
      <c r="D42" t="s">
        <v>10</v>
      </c>
      <c r="E42" s="1">
        <v>0.47528828703703707</v>
      </c>
      <c r="F42" s="1">
        <v>0.47625817129629627</v>
      </c>
      <c r="G42" s="1" t="s">
        <v>11</v>
      </c>
      <c r="H42" s="1">
        <f t="shared" ref="H42:H87" si="1">F42-E42</f>
        <v>9.6988425925920163E-4</v>
      </c>
      <c r="J42" t="s">
        <v>10</v>
      </c>
      <c r="K42" s="1">
        <f>AVERAGEIF(D41:D87, J42, H41:H87)</f>
        <v>3.4311342592591409E-4</v>
      </c>
    </row>
    <row r="43" spans="1:11" x14ac:dyDescent="0.2">
      <c r="A43">
        <v>2</v>
      </c>
      <c r="B43" t="s">
        <v>20</v>
      </c>
      <c r="C43">
        <v>2</v>
      </c>
      <c r="D43" t="s">
        <v>12</v>
      </c>
      <c r="E43" s="1">
        <v>0.47892188657407408</v>
      </c>
      <c r="F43" s="1">
        <v>0.47944984953703701</v>
      </c>
      <c r="G43" s="1" t="s">
        <v>13</v>
      </c>
      <c r="H43" s="1">
        <f t="shared" si="1"/>
        <v>5.2796296296292455E-4</v>
      </c>
    </row>
    <row r="44" spans="1:11" x14ac:dyDescent="0.2">
      <c r="A44">
        <v>0</v>
      </c>
      <c r="B44" t="s">
        <v>20</v>
      </c>
      <c r="C44">
        <v>3</v>
      </c>
      <c r="D44" t="s">
        <v>12</v>
      </c>
      <c r="E44" s="1">
        <v>0.48139386574074072</v>
      </c>
      <c r="F44" s="1">
        <v>0.4822306481481482</v>
      </c>
      <c r="G44" s="1" t="s">
        <v>11</v>
      </c>
      <c r="H44" s="1">
        <f t="shared" si="1"/>
        <v>8.36782407407477E-4</v>
      </c>
    </row>
    <row r="45" spans="1:11" x14ac:dyDescent="0.2">
      <c r="A45">
        <v>7</v>
      </c>
      <c r="B45" t="s">
        <v>20</v>
      </c>
      <c r="C45">
        <v>4</v>
      </c>
      <c r="D45" t="s">
        <v>10</v>
      </c>
      <c r="E45" s="1">
        <v>0.4861589930555556</v>
      </c>
      <c r="F45" s="1">
        <v>0.48685593750000006</v>
      </c>
      <c r="G45" s="1" t="s">
        <v>13</v>
      </c>
      <c r="H45" s="1">
        <f t="shared" si="1"/>
        <v>6.9694444444445836E-4</v>
      </c>
    </row>
    <row r="46" spans="1:11" x14ac:dyDescent="0.2">
      <c r="A46">
        <v>9</v>
      </c>
      <c r="B46" t="s">
        <v>20</v>
      </c>
      <c r="C46">
        <v>5</v>
      </c>
      <c r="D46" t="s">
        <v>10</v>
      </c>
      <c r="E46" s="1">
        <v>0.48813136574074079</v>
      </c>
      <c r="F46" s="1">
        <v>0.48832252314814811</v>
      </c>
      <c r="G46" s="1" t="s">
        <v>13</v>
      </c>
      <c r="H46" s="1">
        <f t="shared" si="1"/>
        <v>1.9115740740732745E-4</v>
      </c>
    </row>
    <row r="47" spans="1:11" x14ac:dyDescent="0.2">
      <c r="A47">
        <v>5</v>
      </c>
      <c r="B47" t="s">
        <v>20</v>
      </c>
      <c r="C47">
        <v>6</v>
      </c>
      <c r="D47" t="s">
        <v>12</v>
      </c>
      <c r="E47" s="1">
        <v>0.48991084490740738</v>
      </c>
      <c r="F47" s="1">
        <v>0.49104121527777783</v>
      </c>
      <c r="G47" s="1" t="s">
        <v>11</v>
      </c>
      <c r="H47" s="1">
        <f t="shared" si="1"/>
        <v>1.1303703703704482E-3</v>
      </c>
    </row>
    <row r="48" spans="1:11" x14ac:dyDescent="0.2">
      <c r="A48">
        <v>3</v>
      </c>
      <c r="B48" t="s">
        <v>20</v>
      </c>
      <c r="C48">
        <v>7</v>
      </c>
      <c r="D48" t="s">
        <v>12</v>
      </c>
      <c r="E48" s="1">
        <v>0.49197696759259257</v>
      </c>
      <c r="F48" s="1">
        <v>0.49267428240740735</v>
      </c>
      <c r="G48" s="1" t="s">
        <v>13</v>
      </c>
      <c r="H48" s="1">
        <f t="shared" si="1"/>
        <v>6.9731481481477564E-4</v>
      </c>
    </row>
    <row r="49" spans="1:8" x14ac:dyDescent="0.2">
      <c r="A49">
        <v>8</v>
      </c>
      <c r="B49" t="s">
        <v>20</v>
      </c>
      <c r="C49">
        <v>8</v>
      </c>
      <c r="D49" t="s">
        <v>10</v>
      </c>
      <c r="E49" s="1">
        <v>0.49411657407407406</v>
      </c>
      <c r="F49" s="1">
        <v>0.49448230324074077</v>
      </c>
      <c r="G49" s="1" t="s">
        <v>11</v>
      </c>
      <c r="H49" s="1">
        <f t="shared" si="1"/>
        <v>3.6572916666671729E-4</v>
      </c>
    </row>
    <row r="50" spans="1:8" x14ac:dyDescent="0.2">
      <c r="A50">
        <v>4</v>
      </c>
      <c r="B50" t="s">
        <v>20</v>
      </c>
      <c r="C50">
        <v>9</v>
      </c>
      <c r="D50" t="s">
        <v>12</v>
      </c>
      <c r="E50" s="1">
        <v>0.4965667592592593</v>
      </c>
      <c r="F50" s="1">
        <v>0.49678182870370369</v>
      </c>
      <c r="G50" s="1" t="s">
        <v>13</v>
      </c>
      <c r="H50" s="1">
        <f t="shared" si="1"/>
        <v>2.1506944444438236E-4</v>
      </c>
    </row>
    <row r="51" spans="1:8" x14ac:dyDescent="0.2">
      <c r="A51">
        <v>10</v>
      </c>
      <c r="B51" t="s">
        <v>20</v>
      </c>
      <c r="C51">
        <v>10</v>
      </c>
      <c r="D51" t="s">
        <v>10</v>
      </c>
      <c r="E51" s="1">
        <v>0.49808369212962961</v>
      </c>
      <c r="F51" s="1">
        <v>0.49836706018518517</v>
      </c>
      <c r="G51" s="1" t="s">
        <v>13</v>
      </c>
      <c r="H51" s="1">
        <f t="shared" si="1"/>
        <v>2.8336805555556621E-4</v>
      </c>
    </row>
    <row r="52" spans="1:8" x14ac:dyDescent="0.2">
      <c r="A52">
        <v>0</v>
      </c>
      <c r="B52" t="s">
        <v>21</v>
      </c>
      <c r="C52">
        <v>0</v>
      </c>
      <c r="D52" t="s">
        <v>12</v>
      </c>
      <c r="E52" s="1">
        <v>0.68848024305555555</v>
      </c>
      <c r="F52" s="1">
        <v>0.68937180555555555</v>
      </c>
      <c r="G52" s="1" t="s">
        <v>13</v>
      </c>
      <c r="H52" s="1">
        <f t="shared" si="1"/>
        <v>8.9156249999999826E-4</v>
      </c>
    </row>
    <row r="53" spans="1:8" x14ac:dyDescent="0.2">
      <c r="A53">
        <v>2</v>
      </c>
      <c r="B53" t="s">
        <v>21</v>
      </c>
      <c r="C53">
        <v>1</v>
      </c>
      <c r="D53" t="s">
        <v>10</v>
      </c>
      <c r="E53" s="1">
        <v>0.69085730324074079</v>
      </c>
      <c r="F53" s="1">
        <v>0.69132663194444444</v>
      </c>
      <c r="G53" s="1" t="s">
        <v>13</v>
      </c>
      <c r="H53" s="1">
        <f t="shared" si="1"/>
        <v>4.6932870370364199E-4</v>
      </c>
    </row>
    <row r="54" spans="1:8" x14ac:dyDescent="0.2">
      <c r="A54">
        <v>1</v>
      </c>
      <c r="B54" t="s">
        <v>21</v>
      </c>
      <c r="C54">
        <v>2</v>
      </c>
      <c r="D54" t="s">
        <v>12</v>
      </c>
      <c r="E54" s="1">
        <v>0.692759074074074</v>
      </c>
      <c r="F54" s="1">
        <v>0.69403489583333333</v>
      </c>
      <c r="G54" s="1" t="s">
        <v>13</v>
      </c>
      <c r="H54" s="1">
        <f t="shared" si="1"/>
        <v>1.2758217592593324E-3</v>
      </c>
    </row>
    <row r="55" spans="1:8" x14ac:dyDescent="0.2">
      <c r="A55">
        <v>3</v>
      </c>
      <c r="B55" t="s">
        <v>21</v>
      </c>
      <c r="C55">
        <v>3</v>
      </c>
      <c r="D55" t="s">
        <v>10</v>
      </c>
      <c r="E55" s="1">
        <v>0.70393263888888891</v>
      </c>
      <c r="F55" s="1">
        <v>0.70447758101851854</v>
      </c>
      <c r="G55" s="1" t="s">
        <v>13</v>
      </c>
      <c r="H55" s="1">
        <f t="shared" si="1"/>
        <v>5.4494212962963307E-4</v>
      </c>
    </row>
    <row r="56" spans="1:8" x14ac:dyDescent="0.2">
      <c r="A56">
        <v>4</v>
      </c>
      <c r="B56" t="s">
        <v>21</v>
      </c>
      <c r="C56">
        <v>4</v>
      </c>
      <c r="D56" t="s">
        <v>10</v>
      </c>
      <c r="E56" s="1">
        <v>0.70580432870370369</v>
      </c>
      <c r="F56" s="1">
        <v>0.70609752314814811</v>
      </c>
      <c r="G56" s="1" t="s">
        <v>13</v>
      </c>
      <c r="H56" s="1">
        <f t="shared" si="1"/>
        <v>2.9319444444442233E-4</v>
      </c>
    </row>
    <row r="57" spans="1:8" x14ac:dyDescent="0.2">
      <c r="A57">
        <v>0</v>
      </c>
      <c r="B57" t="s">
        <v>18</v>
      </c>
      <c r="C57">
        <v>0</v>
      </c>
      <c r="D57" t="s">
        <v>12</v>
      </c>
      <c r="E57" s="1">
        <v>0.55612003472222227</v>
      </c>
      <c r="F57" s="1">
        <v>0.55641188657407403</v>
      </c>
      <c r="G57" s="1" t="s">
        <v>13</v>
      </c>
      <c r="H57" s="1">
        <f t="shared" si="1"/>
        <v>2.9185185185176543E-4</v>
      </c>
    </row>
    <row r="58" spans="1:8" x14ac:dyDescent="0.2">
      <c r="A58">
        <v>3</v>
      </c>
      <c r="B58" t="s">
        <v>18</v>
      </c>
      <c r="C58">
        <v>1</v>
      </c>
      <c r="D58" t="s">
        <v>10</v>
      </c>
      <c r="E58" s="1">
        <v>0.55749346064814809</v>
      </c>
      <c r="F58" s="1">
        <v>0.55762597222222221</v>
      </c>
      <c r="G58" s="1" t="s">
        <v>13</v>
      </c>
      <c r="H58" s="1">
        <f t="shared" si="1"/>
        <v>1.3251157407412339E-4</v>
      </c>
    </row>
    <row r="59" spans="1:8" x14ac:dyDescent="0.2">
      <c r="A59">
        <v>4</v>
      </c>
      <c r="B59" t="s">
        <v>18</v>
      </c>
      <c r="C59">
        <v>2</v>
      </c>
      <c r="D59" t="s">
        <v>10</v>
      </c>
      <c r="E59" s="1">
        <v>0.5587566435185185</v>
      </c>
      <c r="F59" s="1">
        <v>0.55889880787037038</v>
      </c>
      <c r="G59" s="1" t="s">
        <v>13</v>
      </c>
      <c r="H59" s="1">
        <f t="shared" si="1"/>
        <v>1.4216435185188114E-4</v>
      </c>
    </row>
    <row r="60" spans="1:8" x14ac:dyDescent="0.2">
      <c r="A60">
        <v>1</v>
      </c>
      <c r="B60" t="s">
        <v>18</v>
      </c>
      <c r="C60">
        <v>3</v>
      </c>
      <c r="D60" t="s">
        <v>12</v>
      </c>
      <c r="E60" s="1">
        <v>0.55967136574074072</v>
      </c>
      <c r="F60" s="1">
        <v>0.5598565509259259</v>
      </c>
      <c r="G60" t="s">
        <v>13</v>
      </c>
      <c r="H60" s="1">
        <f t="shared" si="1"/>
        <v>1.8518518518517713E-4</v>
      </c>
    </row>
    <row r="61" spans="1:8" x14ac:dyDescent="0.2">
      <c r="A61">
        <v>5</v>
      </c>
      <c r="B61" t="s">
        <v>18</v>
      </c>
      <c r="C61">
        <v>4</v>
      </c>
      <c r="D61" t="s">
        <v>10</v>
      </c>
      <c r="E61" s="1">
        <v>0.56032471064814815</v>
      </c>
      <c r="F61" s="1">
        <v>0.56046494212962961</v>
      </c>
      <c r="G61" t="s">
        <v>13</v>
      </c>
      <c r="H61" s="1">
        <f t="shared" si="1"/>
        <v>1.4023148148145648E-4</v>
      </c>
    </row>
    <row r="62" spans="1:8" x14ac:dyDescent="0.2">
      <c r="A62">
        <v>2</v>
      </c>
      <c r="B62" t="s">
        <v>18</v>
      </c>
      <c r="C62">
        <v>5</v>
      </c>
      <c r="D62" t="s">
        <v>12</v>
      </c>
      <c r="E62" s="1">
        <v>0.56094506944444444</v>
      </c>
      <c r="F62" s="1">
        <v>0.5613142708333333</v>
      </c>
      <c r="G62" t="s">
        <v>13</v>
      </c>
      <c r="H62" s="1">
        <f t="shared" si="1"/>
        <v>3.6920138888885123E-4</v>
      </c>
    </row>
    <row r="63" spans="1:8" x14ac:dyDescent="0.2">
      <c r="A63">
        <v>4</v>
      </c>
      <c r="B63" t="s">
        <v>22</v>
      </c>
      <c r="C63">
        <v>0</v>
      </c>
      <c r="D63" t="s">
        <v>10</v>
      </c>
      <c r="E63" s="1">
        <v>0.4506562731481481</v>
      </c>
      <c r="F63" s="1">
        <v>0.45115645833333329</v>
      </c>
      <c r="G63" t="s">
        <v>13</v>
      </c>
      <c r="H63" s="1">
        <f t="shared" si="1"/>
        <v>5.0018518518518684E-4</v>
      </c>
    </row>
    <row r="64" spans="1:8" x14ac:dyDescent="0.2">
      <c r="A64">
        <v>3</v>
      </c>
      <c r="B64" t="s">
        <v>22</v>
      </c>
      <c r="C64">
        <v>1</v>
      </c>
      <c r="D64" t="s">
        <v>10</v>
      </c>
      <c r="E64" s="1">
        <v>0.45259045138888893</v>
      </c>
      <c r="F64" s="1">
        <v>0.45277138888888885</v>
      </c>
      <c r="G64" t="s">
        <v>11</v>
      </c>
      <c r="H64" s="1">
        <f t="shared" si="1"/>
        <v>1.8093749999992248E-4</v>
      </c>
    </row>
    <row r="65" spans="1:8" x14ac:dyDescent="0.2">
      <c r="A65">
        <v>1</v>
      </c>
      <c r="B65" t="s">
        <v>22</v>
      </c>
      <c r="C65">
        <v>2</v>
      </c>
      <c r="D65" t="s">
        <v>12</v>
      </c>
      <c r="E65" s="1">
        <v>0.45395307870370372</v>
      </c>
      <c r="F65" s="1">
        <v>0.45432864583333338</v>
      </c>
      <c r="G65" t="s">
        <v>13</v>
      </c>
      <c r="H65" s="1">
        <f t="shared" si="1"/>
        <v>3.7556712962966143E-4</v>
      </c>
    </row>
    <row r="66" spans="1:8" x14ac:dyDescent="0.2">
      <c r="A66">
        <v>0</v>
      </c>
      <c r="B66" t="s">
        <v>22</v>
      </c>
      <c r="C66">
        <v>3</v>
      </c>
      <c r="D66" t="s">
        <v>12</v>
      </c>
      <c r="E66" s="1">
        <v>0.45540231481481486</v>
      </c>
      <c r="F66" s="1">
        <v>0.45564188657407412</v>
      </c>
      <c r="G66" t="s">
        <v>11</v>
      </c>
      <c r="H66" s="1">
        <f t="shared" si="1"/>
        <v>2.3957175925926055E-4</v>
      </c>
    </row>
    <row r="67" spans="1:8" x14ac:dyDescent="0.2">
      <c r="A67">
        <v>5</v>
      </c>
      <c r="B67" t="s">
        <v>22</v>
      </c>
      <c r="C67">
        <v>4</v>
      </c>
      <c r="D67" t="s">
        <v>10</v>
      </c>
      <c r="E67" s="1">
        <v>0.45680255787037038</v>
      </c>
      <c r="F67" s="1">
        <v>0.457365625</v>
      </c>
      <c r="G67" t="s">
        <v>13</v>
      </c>
      <c r="H67" s="1">
        <f t="shared" si="1"/>
        <v>5.6306712962961303E-4</v>
      </c>
    </row>
    <row r="68" spans="1:8" x14ac:dyDescent="0.2">
      <c r="A68">
        <v>2</v>
      </c>
      <c r="B68" t="s">
        <v>22</v>
      </c>
      <c r="C68">
        <v>5</v>
      </c>
      <c r="D68" t="s">
        <v>12</v>
      </c>
      <c r="E68" s="1">
        <v>0.45860151620370371</v>
      </c>
      <c r="F68" s="1">
        <v>0.45892190972222224</v>
      </c>
      <c r="G68" t="s">
        <v>13</v>
      </c>
      <c r="H68" s="1">
        <f t="shared" si="1"/>
        <v>3.2039351851853581E-4</v>
      </c>
    </row>
    <row r="69" spans="1:8" x14ac:dyDescent="0.2">
      <c r="A69">
        <v>3</v>
      </c>
      <c r="B69" t="s">
        <v>23</v>
      </c>
      <c r="C69">
        <v>0</v>
      </c>
      <c r="D69" t="s">
        <v>12</v>
      </c>
      <c r="E69" s="1">
        <v>0.4629936458333333</v>
      </c>
      <c r="F69" s="1">
        <v>0.46370350694444445</v>
      </c>
      <c r="G69" t="s">
        <v>11</v>
      </c>
      <c r="H69" s="1">
        <f t="shared" si="1"/>
        <v>7.0986111111115413E-4</v>
      </c>
    </row>
    <row r="70" spans="1:8" x14ac:dyDescent="0.2">
      <c r="A70">
        <v>0</v>
      </c>
      <c r="B70" t="s">
        <v>23</v>
      </c>
      <c r="C70">
        <v>1</v>
      </c>
      <c r="D70" t="s">
        <v>12</v>
      </c>
      <c r="E70" s="1">
        <v>0.46427140046296295</v>
      </c>
      <c r="F70" s="1">
        <v>0.46461012731481482</v>
      </c>
      <c r="G70" t="s">
        <v>13</v>
      </c>
      <c r="H70" s="1">
        <f t="shared" si="1"/>
        <v>3.3872685185187823E-4</v>
      </c>
    </row>
    <row r="71" spans="1:8" x14ac:dyDescent="0.2">
      <c r="A71">
        <v>4</v>
      </c>
      <c r="B71" t="s">
        <v>23</v>
      </c>
      <c r="C71">
        <v>2</v>
      </c>
      <c r="D71" t="s">
        <v>10</v>
      </c>
      <c r="E71" s="1">
        <v>0.46723159722222218</v>
      </c>
      <c r="F71" s="1">
        <v>0.46795458333333328</v>
      </c>
      <c r="G71" t="s">
        <v>13</v>
      </c>
      <c r="H71" s="1">
        <f t="shared" si="1"/>
        <v>7.2298611111110134E-4</v>
      </c>
    </row>
    <row r="72" spans="1:8" x14ac:dyDescent="0.2">
      <c r="A72">
        <v>5</v>
      </c>
      <c r="B72" t="s">
        <v>23</v>
      </c>
      <c r="C72">
        <v>3</v>
      </c>
      <c r="D72" t="s">
        <v>10</v>
      </c>
      <c r="E72" s="1">
        <v>0.46950508101851851</v>
      </c>
      <c r="F72" s="1">
        <v>0.46975314814814811</v>
      </c>
      <c r="G72" t="s">
        <v>13</v>
      </c>
      <c r="H72" s="1">
        <f t="shared" si="1"/>
        <v>2.4806712962960331E-4</v>
      </c>
    </row>
    <row r="73" spans="1:8" x14ac:dyDescent="0.2">
      <c r="A73">
        <v>1</v>
      </c>
      <c r="B73" t="s">
        <v>23</v>
      </c>
      <c r="C73">
        <v>4</v>
      </c>
      <c r="D73" t="s">
        <v>12</v>
      </c>
      <c r="E73" s="1">
        <v>0.47107025462962965</v>
      </c>
      <c r="F73" s="1">
        <v>0.4713021180555555</v>
      </c>
      <c r="G73" t="s">
        <v>13</v>
      </c>
      <c r="H73" s="1">
        <f t="shared" si="1"/>
        <v>2.3186342592584896E-4</v>
      </c>
    </row>
    <row r="74" spans="1:8" x14ac:dyDescent="0.2">
      <c r="A74">
        <v>6</v>
      </c>
      <c r="B74" t="s">
        <v>23</v>
      </c>
      <c r="C74">
        <v>5</v>
      </c>
      <c r="D74" t="s">
        <v>10</v>
      </c>
      <c r="E74" s="1">
        <v>0.47320079861111108</v>
      </c>
      <c r="F74" s="1">
        <v>0.47336206018518523</v>
      </c>
      <c r="G74" t="s">
        <v>13</v>
      </c>
      <c r="H74" s="1">
        <f t="shared" si="1"/>
        <v>1.6126157407414521E-4</v>
      </c>
    </row>
    <row r="75" spans="1:8" x14ac:dyDescent="0.2">
      <c r="A75">
        <v>2</v>
      </c>
      <c r="B75" t="s">
        <v>23</v>
      </c>
      <c r="C75">
        <v>6</v>
      </c>
      <c r="D75" t="s">
        <v>12</v>
      </c>
      <c r="E75" s="1">
        <v>0.47456226851851852</v>
      </c>
      <c r="F75" s="1">
        <v>0.47483927083333333</v>
      </c>
      <c r="G75" t="s">
        <v>13</v>
      </c>
      <c r="H75" s="1">
        <f t="shared" si="1"/>
        <v>2.7700231481481152E-4</v>
      </c>
    </row>
    <row r="76" spans="1:8" x14ac:dyDescent="0.2">
      <c r="A76">
        <v>3</v>
      </c>
      <c r="B76" t="s">
        <v>24</v>
      </c>
      <c r="C76">
        <v>0</v>
      </c>
      <c r="D76" t="s">
        <v>10</v>
      </c>
      <c r="E76" s="1">
        <v>0.55075618055555553</v>
      </c>
      <c r="F76" s="1">
        <v>0.55092767361111106</v>
      </c>
      <c r="G76" t="s">
        <v>13</v>
      </c>
      <c r="H76" s="1">
        <f t="shared" si="1"/>
        <v>1.7149305555552719E-4</v>
      </c>
    </row>
    <row r="77" spans="1:8" x14ac:dyDescent="0.2">
      <c r="A77">
        <v>4</v>
      </c>
      <c r="B77" t="s">
        <v>24</v>
      </c>
      <c r="C77">
        <v>1</v>
      </c>
      <c r="D77" t="s">
        <v>10</v>
      </c>
      <c r="E77" s="1">
        <v>0.55212555555555554</v>
      </c>
      <c r="F77" s="1">
        <v>0.55241818287037037</v>
      </c>
      <c r="G77" t="s">
        <v>13</v>
      </c>
      <c r="H77" s="1">
        <f t="shared" si="1"/>
        <v>2.9262731481483062E-4</v>
      </c>
    </row>
    <row r="78" spans="1:8" x14ac:dyDescent="0.2">
      <c r="A78">
        <v>0</v>
      </c>
      <c r="B78" t="s">
        <v>24</v>
      </c>
      <c r="C78">
        <v>2</v>
      </c>
      <c r="D78" t="s">
        <v>12</v>
      </c>
      <c r="E78" s="1">
        <v>0.55321504629629625</v>
      </c>
      <c r="F78" s="1">
        <v>0.55349667824074067</v>
      </c>
      <c r="G78" t="s">
        <v>13</v>
      </c>
      <c r="H78" s="1">
        <f t="shared" si="1"/>
        <v>2.8163194444441597E-4</v>
      </c>
    </row>
    <row r="79" spans="1:8" x14ac:dyDescent="0.2">
      <c r="A79">
        <v>1</v>
      </c>
      <c r="B79" t="s">
        <v>24</v>
      </c>
      <c r="C79">
        <v>3</v>
      </c>
      <c r="D79" t="s">
        <v>12</v>
      </c>
      <c r="E79" s="1">
        <v>0.55438033564814815</v>
      </c>
      <c r="F79" s="1">
        <v>0.55484869212962962</v>
      </c>
      <c r="G79" t="s">
        <v>13</v>
      </c>
      <c r="H79" s="1">
        <f t="shared" si="1"/>
        <v>4.6835648148146891E-4</v>
      </c>
    </row>
    <row r="80" spans="1:8" x14ac:dyDescent="0.2">
      <c r="A80">
        <v>2</v>
      </c>
      <c r="B80" t="s">
        <v>24</v>
      </c>
      <c r="C80">
        <v>4</v>
      </c>
      <c r="D80" t="s">
        <v>12</v>
      </c>
      <c r="E80" s="1">
        <v>0.5566003819444445</v>
      </c>
      <c r="F80" s="1">
        <v>0.55699138888888888</v>
      </c>
      <c r="G80" t="s">
        <v>13</v>
      </c>
      <c r="H80" s="1">
        <f t="shared" si="1"/>
        <v>3.9100694444438311E-4</v>
      </c>
    </row>
    <row r="81" spans="1:8" x14ac:dyDescent="0.2">
      <c r="A81">
        <v>5</v>
      </c>
      <c r="B81" t="s">
        <v>24</v>
      </c>
      <c r="C81">
        <v>5</v>
      </c>
      <c r="D81" t="s">
        <v>10</v>
      </c>
      <c r="E81" s="1">
        <v>0.55829730324074078</v>
      </c>
      <c r="F81" s="1">
        <v>0.5585447916666666</v>
      </c>
      <c r="G81" t="s">
        <v>13</v>
      </c>
      <c r="H81" s="1">
        <f t="shared" si="1"/>
        <v>2.4748842592581255E-4</v>
      </c>
    </row>
    <row r="82" spans="1:8" x14ac:dyDescent="0.2">
      <c r="A82">
        <v>0</v>
      </c>
      <c r="B82" t="s">
        <v>25</v>
      </c>
      <c r="C82">
        <v>0</v>
      </c>
      <c r="D82" t="s">
        <v>12</v>
      </c>
      <c r="E82" s="1">
        <v>0.56126222222222222</v>
      </c>
      <c r="F82" s="1">
        <v>0.56142425925925921</v>
      </c>
      <c r="G82" t="s">
        <v>13</v>
      </c>
      <c r="H82" s="1">
        <f t="shared" si="1"/>
        <v>1.6203703703698835E-4</v>
      </c>
    </row>
    <row r="83" spans="1:8" x14ac:dyDescent="0.2">
      <c r="A83">
        <v>3</v>
      </c>
      <c r="B83" t="s">
        <v>25</v>
      </c>
      <c r="C83">
        <v>1</v>
      </c>
      <c r="D83" t="s">
        <v>10</v>
      </c>
      <c r="E83" s="1">
        <v>0.56233666666666671</v>
      </c>
      <c r="F83" s="1">
        <v>0.56250274305555559</v>
      </c>
      <c r="G83" t="s">
        <v>13</v>
      </c>
      <c r="H83" s="1">
        <f t="shared" si="1"/>
        <v>1.6607638888888054E-4</v>
      </c>
    </row>
    <row r="84" spans="1:8" x14ac:dyDescent="0.2">
      <c r="A84">
        <v>1</v>
      </c>
      <c r="B84" t="s">
        <v>25</v>
      </c>
      <c r="C84">
        <v>2</v>
      </c>
      <c r="D84" t="s">
        <v>12</v>
      </c>
      <c r="E84" s="1">
        <v>0.56353957175925928</v>
      </c>
      <c r="F84" s="1">
        <v>0.56366668981481483</v>
      </c>
      <c r="G84" t="s">
        <v>13</v>
      </c>
      <c r="H84" s="1">
        <f t="shared" si="1"/>
        <v>1.2711805555554179E-4</v>
      </c>
    </row>
    <row r="85" spans="1:8" x14ac:dyDescent="0.2">
      <c r="A85">
        <v>2</v>
      </c>
      <c r="B85" t="s">
        <v>25</v>
      </c>
      <c r="C85">
        <v>3</v>
      </c>
      <c r="D85" t="s">
        <v>12</v>
      </c>
      <c r="E85" s="1">
        <v>0.56424248842592595</v>
      </c>
      <c r="F85" s="1">
        <v>0.56438252314814819</v>
      </c>
      <c r="G85" t="s">
        <v>13</v>
      </c>
      <c r="H85" s="1">
        <f t="shared" si="1"/>
        <v>1.4003472222223756E-4</v>
      </c>
    </row>
    <row r="86" spans="1:8" x14ac:dyDescent="0.2">
      <c r="A86">
        <v>4</v>
      </c>
      <c r="B86" t="s">
        <v>25</v>
      </c>
      <c r="C86">
        <v>4</v>
      </c>
      <c r="D86" t="s">
        <v>10</v>
      </c>
      <c r="E86" s="1">
        <v>0.56495177083333337</v>
      </c>
      <c r="F86" s="1">
        <v>0.56512652777777783</v>
      </c>
      <c r="G86" t="s">
        <v>13</v>
      </c>
      <c r="H86" s="1">
        <f t="shared" si="1"/>
        <v>1.7475694444446521E-4</v>
      </c>
    </row>
    <row r="87" spans="1:8" x14ac:dyDescent="0.2">
      <c r="A87">
        <v>5</v>
      </c>
      <c r="B87" t="s">
        <v>25</v>
      </c>
      <c r="C87">
        <v>5</v>
      </c>
      <c r="D87" t="s">
        <v>10</v>
      </c>
      <c r="E87" s="1">
        <v>0.56557945601851856</v>
      </c>
      <c r="F87" s="1">
        <v>0.56581266203703706</v>
      </c>
      <c r="G87" t="s">
        <v>13</v>
      </c>
      <c r="H87" s="1">
        <f t="shared" si="1"/>
        <v>2.3320601851850586E-4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508CD-3B62-7A4E-AF22-172BFB6BDCDE}">
  <dimension ref="A1:J79"/>
  <sheetViews>
    <sheetView tabSelected="1" workbookViewId="0">
      <selection activeCell="J18" sqref="J18"/>
    </sheetView>
  </sheetViews>
  <sheetFormatPr baseColWidth="10" defaultRowHeight="16" x14ac:dyDescent="0.2"/>
  <cols>
    <col min="1" max="1" width="15" customWidth="1"/>
    <col min="2" max="2" width="16.5" customWidth="1"/>
    <col min="3" max="3" width="18.1640625" customWidth="1"/>
    <col min="9" max="9" width="19.33203125" bestFit="1" customWidth="1"/>
  </cols>
  <sheetData>
    <row r="1" spans="1:10" x14ac:dyDescent="0.2">
      <c r="A1" t="s">
        <v>30</v>
      </c>
      <c r="B1" t="s">
        <v>29</v>
      </c>
      <c r="C1" t="s">
        <v>26</v>
      </c>
      <c r="D1" t="s">
        <v>27</v>
      </c>
      <c r="E1" t="s">
        <v>28</v>
      </c>
    </row>
    <row r="2" spans="1:10" ht="17" thickBot="1" x14ac:dyDescent="0.25">
      <c r="A2">
        <v>0</v>
      </c>
      <c r="B2" t="s">
        <v>31</v>
      </c>
      <c r="C2" t="str">
        <f>Sheet1!C4</f>
        <v>N</v>
      </c>
      <c r="D2" t="str">
        <f>Sheet1!H4</f>
        <v>F</v>
      </c>
      <c r="E2" s="1">
        <f>Sheet1!G4</f>
        <v>1.5913194444450163E-4</v>
      </c>
    </row>
    <row r="3" spans="1:10" x14ac:dyDescent="0.2">
      <c r="A3">
        <v>0</v>
      </c>
      <c r="B3" t="s">
        <v>31</v>
      </c>
      <c r="C3" t="str">
        <f>Sheet1!C5</f>
        <v>Y</v>
      </c>
      <c r="D3" t="str">
        <f>Sheet1!H5</f>
        <v>P</v>
      </c>
      <c r="E3" s="1">
        <f>Sheet1!G5</f>
        <v>2.4305555555553804E-4</v>
      </c>
      <c r="G3" s="10" t="s">
        <v>40</v>
      </c>
      <c r="H3" s="11"/>
      <c r="I3" s="11"/>
      <c r="J3" s="12"/>
    </row>
    <row r="4" spans="1:10" x14ac:dyDescent="0.2">
      <c r="A4">
        <v>0</v>
      </c>
      <c r="B4" t="s">
        <v>31</v>
      </c>
      <c r="C4" t="str">
        <f>Sheet1!C6</f>
        <v>N</v>
      </c>
      <c r="D4" t="str">
        <f>Sheet1!H6</f>
        <v>P</v>
      </c>
      <c r="E4" s="1">
        <f>Sheet1!G6</f>
        <v>8.1018518518494176E-5</v>
      </c>
      <c r="G4" s="13"/>
      <c r="H4" s="14" t="s">
        <v>31</v>
      </c>
      <c r="I4" s="14" t="s">
        <v>38</v>
      </c>
      <c r="J4" s="15" t="s">
        <v>39</v>
      </c>
    </row>
    <row r="5" spans="1:10" x14ac:dyDescent="0.2">
      <c r="A5">
        <v>0</v>
      </c>
      <c r="B5" t="s">
        <v>31</v>
      </c>
      <c r="C5" t="str">
        <f>Sheet1!C7</f>
        <v>N</v>
      </c>
      <c r="D5" t="str">
        <f>Sheet1!H7</f>
        <v>P</v>
      </c>
      <c r="E5" s="1">
        <f>Sheet1!G7</f>
        <v>1.0416666666662744E-4</v>
      </c>
      <c r="G5" s="20" t="s">
        <v>36</v>
      </c>
      <c r="H5" s="16">
        <f>COUNTIFS(B2:B78,"Consultant",D2:D78,"F",C2:C78,"Y") / COUNTIFS(B2:B78,"Consultant",C2:C78,"Y")</f>
        <v>0</v>
      </c>
      <c r="I5" s="16">
        <f>COUNTIFS(B2:B78,"&lt;&gt;Consultant",D2:D78,"F",C2:C78,"Y") / COUNTIFS(B2:B78,"&lt;&gt;Consultant",C2:C78,"Y")</f>
        <v>0.14814814814814814</v>
      </c>
      <c r="J5" s="18">
        <f>COUNTIFS(D2:D78,"F",C2:C78,"Y") / COUNTIFS(C2:C78,"Y")</f>
        <v>0.10256410256410256</v>
      </c>
    </row>
    <row r="6" spans="1:10" ht="17" thickBot="1" x14ac:dyDescent="0.25">
      <c r="A6">
        <v>0</v>
      </c>
      <c r="B6" t="s">
        <v>31</v>
      </c>
      <c r="C6" t="str">
        <f>Sheet1!C8</f>
        <v>Y</v>
      </c>
      <c r="D6" t="str">
        <f>Sheet1!H8</f>
        <v>P</v>
      </c>
      <c r="E6" s="1">
        <f>Sheet1!G8</f>
        <v>3.7037037037035425E-4</v>
      </c>
      <c r="G6" s="21" t="s">
        <v>37</v>
      </c>
      <c r="H6" s="17">
        <f>COUNTIFS(B2:B78,"Consultant",D2:D78,"F",C2:C78,"N") / COUNTIFS(B2:B78,"Consultant",C2:C78,"N")</f>
        <v>8.3333333333333329E-2</v>
      </c>
      <c r="I6" s="17">
        <f>COUNTIFS(B2:B78,"&lt;&gt;Consultant",D2:D78,"F",C2:C78,"N") / COUNTIFS(B2:B78,"&lt;&gt;Consultant",C2:C78,"N")</f>
        <v>0.19230769230769232</v>
      </c>
      <c r="J6" s="19">
        <f>COUNTIFS(D2:D78,"F",C2:C78,"N") / COUNTIFS(C2:C78,"N")</f>
        <v>0.15789473684210525</v>
      </c>
    </row>
    <row r="7" spans="1:10" x14ac:dyDescent="0.2">
      <c r="A7">
        <v>0</v>
      </c>
      <c r="B7" t="s">
        <v>31</v>
      </c>
      <c r="C7" t="str">
        <f>Sheet1!C9</f>
        <v>Y</v>
      </c>
      <c r="D7" t="str">
        <f>Sheet1!H9</f>
        <v>P</v>
      </c>
      <c r="E7" s="1">
        <f>Sheet1!G9</f>
        <v>3.5879629629625986E-4</v>
      </c>
    </row>
    <row r="8" spans="1:10" x14ac:dyDescent="0.2">
      <c r="A8">
        <v>1</v>
      </c>
      <c r="B8" t="s">
        <v>32</v>
      </c>
      <c r="C8" t="str">
        <f>Sheet1!C10</f>
        <v>N</v>
      </c>
      <c r="D8" t="str">
        <f>Sheet1!H10</f>
        <v>P</v>
      </c>
      <c r="E8" s="1">
        <f>Sheet1!G10</f>
        <v>2.2685185185185031E-3</v>
      </c>
    </row>
    <row r="9" spans="1:10" x14ac:dyDescent="0.2">
      <c r="A9">
        <v>1</v>
      </c>
      <c r="B9" t="s">
        <v>32</v>
      </c>
      <c r="C9" t="str">
        <f>Sheet1!C11</f>
        <v>N</v>
      </c>
      <c r="D9" t="str">
        <f>Sheet1!H11</f>
        <v>P</v>
      </c>
      <c r="E9" s="1">
        <f>Sheet1!G11</f>
        <v>8.1018518518494176E-5</v>
      </c>
      <c r="H9" s="9"/>
      <c r="I9" s="9"/>
    </row>
    <row r="10" spans="1:10" x14ac:dyDescent="0.2">
      <c r="A10">
        <v>1</v>
      </c>
      <c r="B10" t="s">
        <v>32</v>
      </c>
      <c r="C10" t="str">
        <f>Sheet1!C12</f>
        <v>N</v>
      </c>
      <c r="D10" t="str">
        <f>Sheet1!H12</f>
        <v>P</v>
      </c>
      <c r="E10" s="1">
        <f>Sheet1!G12</f>
        <v>3.1250000000004885E-4</v>
      </c>
    </row>
    <row r="11" spans="1:10" x14ac:dyDescent="0.2">
      <c r="A11">
        <v>1</v>
      </c>
      <c r="B11" t="s">
        <v>32</v>
      </c>
      <c r="C11" t="str">
        <f>Sheet1!C13</f>
        <v>Y</v>
      </c>
      <c r="D11" t="str">
        <f>Sheet1!H13</f>
        <v>P</v>
      </c>
      <c r="E11" s="1">
        <f>Sheet1!G13</f>
        <v>1.8518518518517713E-4</v>
      </c>
    </row>
    <row r="12" spans="1:10" x14ac:dyDescent="0.2">
      <c r="A12">
        <v>1</v>
      </c>
      <c r="B12" t="s">
        <v>32</v>
      </c>
      <c r="C12" t="str">
        <f>Sheet1!C14</f>
        <v>Y</v>
      </c>
      <c r="D12" t="str">
        <f>Sheet1!H14</f>
        <v>P</v>
      </c>
      <c r="E12" s="1">
        <f>Sheet1!G14</f>
        <v>3.8194444444439313E-4</v>
      </c>
    </row>
    <row r="13" spans="1:10" x14ac:dyDescent="0.2">
      <c r="A13">
        <v>1</v>
      </c>
      <c r="B13" t="s">
        <v>32</v>
      </c>
      <c r="C13" t="str">
        <f>Sheet1!C15</f>
        <v>Y</v>
      </c>
      <c r="D13" t="str">
        <f>Sheet1!H15</f>
        <v>P</v>
      </c>
      <c r="E13" s="1">
        <f>Sheet1!G15</f>
        <v>4.5138888888884843E-4</v>
      </c>
    </row>
    <row r="14" spans="1:10" x14ac:dyDescent="0.2">
      <c r="A14">
        <v>2</v>
      </c>
      <c r="B14" t="s">
        <v>33</v>
      </c>
      <c r="C14" t="str">
        <f>Sheet1!C16</f>
        <v>Y</v>
      </c>
      <c r="D14" t="str">
        <f>Sheet1!H16</f>
        <v>P</v>
      </c>
      <c r="E14" s="1">
        <f>Sheet1!G16</f>
        <v>1.1458333333334014E-3</v>
      </c>
    </row>
    <row r="15" spans="1:10" x14ac:dyDescent="0.2">
      <c r="A15">
        <v>2</v>
      </c>
      <c r="B15" t="s">
        <v>33</v>
      </c>
      <c r="C15" t="str">
        <f>Sheet1!C17</f>
        <v>N</v>
      </c>
      <c r="D15" t="str">
        <f>Sheet1!H17</f>
        <v>F</v>
      </c>
      <c r="E15" s="1">
        <f>Sheet1!G17</f>
        <v>1.1574074074083285E-4</v>
      </c>
    </row>
    <row r="16" spans="1:10" x14ac:dyDescent="0.2">
      <c r="A16">
        <v>2</v>
      </c>
      <c r="B16" t="s">
        <v>33</v>
      </c>
      <c r="C16" t="str">
        <f>Sheet1!C18</f>
        <v>N</v>
      </c>
      <c r="D16" t="str">
        <f>Sheet1!H18</f>
        <v>P</v>
      </c>
      <c r="E16" s="1">
        <f>Sheet1!G18</f>
        <v>5.324074074073426E-4</v>
      </c>
    </row>
    <row r="17" spans="1:5" x14ac:dyDescent="0.2">
      <c r="A17">
        <v>2</v>
      </c>
      <c r="B17" t="s">
        <v>33</v>
      </c>
      <c r="C17" t="str">
        <f>Sheet1!C19</f>
        <v>Y</v>
      </c>
      <c r="D17" t="str">
        <f>Sheet1!H19</f>
        <v>P</v>
      </c>
      <c r="E17" s="1">
        <f>Sheet1!G19</f>
        <v>5.7870370370372015E-4</v>
      </c>
    </row>
    <row r="18" spans="1:5" x14ac:dyDescent="0.2">
      <c r="A18">
        <v>2</v>
      </c>
      <c r="B18" t="s">
        <v>33</v>
      </c>
      <c r="C18" t="str">
        <f>Sheet1!C20</f>
        <v>N</v>
      </c>
      <c r="D18" t="str">
        <f>Sheet1!H20</f>
        <v>P</v>
      </c>
      <c r="E18" s="1">
        <f>Sheet1!G20</f>
        <v>2.083333333333659E-4</v>
      </c>
    </row>
    <row r="19" spans="1:5" x14ac:dyDescent="0.2">
      <c r="A19">
        <v>2</v>
      </c>
      <c r="B19" t="s">
        <v>33</v>
      </c>
      <c r="C19" t="str">
        <f>Sheet1!C21</f>
        <v>Y</v>
      </c>
      <c r="D19" t="str">
        <f>Sheet1!H21</f>
        <v>P</v>
      </c>
      <c r="E19" s="1">
        <f>Sheet1!G21</f>
        <v>3.3564814814823762E-4</v>
      </c>
    </row>
    <row r="20" spans="1:5" x14ac:dyDescent="0.2">
      <c r="A20">
        <v>3</v>
      </c>
      <c r="B20" t="s">
        <v>34</v>
      </c>
      <c r="C20" t="str">
        <f>Sheet1!C22</f>
        <v>Y</v>
      </c>
      <c r="D20" t="str">
        <f>Sheet1!H22</f>
        <v>P</v>
      </c>
      <c r="E20" s="1">
        <f>Sheet1!G22</f>
        <v>7.8703703703697503E-4</v>
      </c>
    </row>
    <row r="21" spans="1:5" x14ac:dyDescent="0.2">
      <c r="A21">
        <v>3</v>
      </c>
      <c r="B21" t="s">
        <v>34</v>
      </c>
      <c r="C21" t="str">
        <f>Sheet1!C23</f>
        <v>N</v>
      </c>
      <c r="D21" t="str">
        <f>Sheet1!H23</f>
        <v>P</v>
      </c>
      <c r="E21" s="1">
        <f>Sheet1!G23</f>
        <v>4.745370370370372E-4</v>
      </c>
    </row>
    <row r="22" spans="1:5" x14ac:dyDescent="0.2">
      <c r="A22">
        <v>3</v>
      </c>
      <c r="B22" t="s">
        <v>34</v>
      </c>
      <c r="C22" t="str">
        <f>Sheet1!C24</f>
        <v>Y</v>
      </c>
      <c r="D22" t="str">
        <f>Sheet1!H24</f>
        <v>P</v>
      </c>
      <c r="E22" s="1">
        <f>Sheet1!G24</f>
        <v>2.5462962962963243E-4</v>
      </c>
    </row>
    <row r="23" spans="1:5" x14ac:dyDescent="0.2">
      <c r="A23">
        <v>3</v>
      </c>
      <c r="B23" t="s">
        <v>34</v>
      </c>
      <c r="C23" t="str">
        <f>Sheet1!C25</f>
        <v>N</v>
      </c>
      <c r="D23" t="str">
        <f>Sheet1!H25</f>
        <v>P</v>
      </c>
      <c r="E23" s="1">
        <f>Sheet1!G25</f>
        <v>3.2407407407408773E-4</v>
      </c>
    </row>
    <row r="24" spans="1:5" x14ac:dyDescent="0.2">
      <c r="A24">
        <v>3</v>
      </c>
      <c r="B24" t="s">
        <v>34</v>
      </c>
      <c r="C24" t="str">
        <f>Sheet1!C26</f>
        <v>N</v>
      </c>
      <c r="D24" t="str">
        <f>Sheet1!H26</f>
        <v>F</v>
      </c>
      <c r="E24" s="1">
        <f>Sheet1!G26</f>
        <v>3.3564814814823762E-4</v>
      </c>
    </row>
    <row r="25" spans="1:5" x14ac:dyDescent="0.2">
      <c r="A25">
        <v>3</v>
      </c>
      <c r="B25" t="s">
        <v>34</v>
      </c>
      <c r="C25" t="str">
        <f>Sheet1!C27</f>
        <v>Y</v>
      </c>
      <c r="D25" t="str">
        <f>Sheet1!H27</f>
        <v>P</v>
      </c>
      <c r="E25" s="1">
        <f>Sheet1!G27</f>
        <v>1.504629629630605E-4</v>
      </c>
    </row>
    <row r="26" spans="1:5" x14ac:dyDescent="0.2">
      <c r="A26">
        <v>4</v>
      </c>
      <c r="B26" t="s">
        <v>31</v>
      </c>
      <c r="C26" t="str">
        <f>Sheet1!C28</f>
        <v>N</v>
      </c>
      <c r="D26" t="str">
        <f>Sheet1!H28</f>
        <v>P</v>
      </c>
      <c r="E26" s="1">
        <f>Sheet1!G28</f>
        <v>2.3148148148149916E-4</v>
      </c>
    </row>
    <row r="27" spans="1:5" x14ac:dyDescent="0.2">
      <c r="A27">
        <v>4</v>
      </c>
      <c r="B27" t="s">
        <v>31</v>
      </c>
      <c r="C27" t="str">
        <f>Sheet1!C29</f>
        <v>Y</v>
      </c>
      <c r="D27" t="str">
        <f>Sheet1!H29</f>
        <v>P</v>
      </c>
      <c r="E27" s="1">
        <f>Sheet1!G29</f>
        <v>1.5046296296300499E-4</v>
      </c>
    </row>
    <row r="28" spans="1:5" x14ac:dyDescent="0.2">
      <c r="A28">
        <v>4</v>
      </c>
      <c r="B28" t="s">
        <v>31</v>
      </c>
      <c r="C28" t="str">
        <f>Sheet1!C30</f>
        <v>N</v>
      </c>
      <c r="D28" t="str">
        <f>Sheet1!H30</f>
        <v>P</v>
      </c>
      <c r="E28" s="1">
        <f>Sheet1!G30</f>
        <v>2.1990740740740478E-4</v>
      </c>
    </row>
    <row r="29" spans="1:5" x14ac:dyDescent="0.2">
      <c r="A29">
        <v>4</v>
      </c>
      <c r="B29" t="s">
        <v>31</v>
      </c>
      <c r="C29" t="str">
        <f>Sheet1!C31</f>
        <v>Y</v>
      </c>
      <c r="D29" t="str">
        <f>Sheet1!H31</f>
        <v>P</v>
      </c>
      <c r="E29" s="1">
        <f>Sheet1!G31</f>
        <v>4.0509259259263741E-4</v>
      </c>
    </row>
    <row r="30" spans="1:5" x14ac:dyDescent="0.2">
      <c r="A30">
        <v>4</v>
      </c>
      <c r="B30" t="s">
        <v>31</v>
      </c>
      <c r="C30" t="str">
        <f>Sheet1!C32</f>
        <v>Y</v>
      </c>
      <c r="D30" t="str">
        <f>Sheet1!H32</f>
        <v>P</v>
      </c>
      <c r="E30" s="1">
        <f>Sheet1!G32</f>
        <v>1.96759259259216E-4</v>
      </c>
    </row>
    <row r="31" spans="1:5" x14ac:dyDescent="0.2">
      <c r="A31">
        <v>4</v>
      </c>
      <c r="B31" t="s">
        <v>31</v>
      </c>
      <c r="C31" t="str">
        <f>Sheet1!C33</f>
        <v>N</v>
      </c>
      <c r="D31" t="str">
        <f>Sheet1!H33</f>
        <v>P</v>
      </c>
      <c r="E31" s="1">
        <f>Sheet1!G33</f>
        <v>1.8518518518517713E-4</v>
      </c>
    </row>
    <row r="32" spans="1:5" x14ac:dyDescent="0.2">
      <c r="A32">
        <v>5</v>
      </c>
      <c r="B32" t="s">
        <v>20</v>
      </c>
      <c r="C32" t="str">
        <f>Sheet1!D41</f>
        <v>Y</v>
      </c>
      <c r="D32" t="str">
        <f>Sheet1!G41</f>
        <v>P</v>
      </c>
      <c r="E32" s="1">
        <f>Sheet1!H41</f>
        <v>3.9138888888884393E-4</v>
      </c>
    </row>
    <row r="33" spans="1:5" x14ac:dyDescent="0.2">
      <c r="A33">
        <v>5</v>
      </c>
      <c r="B33" t="s">
        <v>20</v>
      </c>
      <c r="C33" t="str">
        <f>Sheet1!D42</f>
        <v>N</v>
      </c>
      <c r="D33" t="str">
        <f>Sheet1!G42</f>
        <v>F</v>
      </c>
      <c r="E33" s="1">
        <f>Sheet1!H42</f>
        <v>9.6988425925920163E-4</v>
      </c>
    </row>
    <row r="34" spans="1:5" x14ac:dyDescent="0.2">
      <c r="A34">
        <v>5</v>
      </c>
      <c r="B34" t="s">
        <v>20</v>
      </c>
      <c r="C34" t="str">
        <f>Sheet1!D43</f>
        <v>Y</v>
      </c>
      <c r="D34" t="str">
        <f>Sheet1!G43</f>
        <v>P</v>
      </c>
      <c r="E34" s="1">
        <f>Sheet1!H43</f>
        <v>5.2796296296292455E-4</v>
      </c>
    </row>
    <row r="35" spans="1:5" x14ac:dyDescent="0.2">
      <c r="A35">
        <v>5</v>
      </c>
      <c r="B35" t="s">
        <v>20</v>
      </c>
      <c r="C35" t="str">
        <f>Sheet1!D44</f>
        <v>Y</v>
      </c>
      <c r="D35" t="str">
        <f>Sheet1!G44</f>
        <v>F</v>
      </c>
      <c r="E35" s="1">
        <f>Sheet1!H44</f>
        <v>8.36782407407477E-4</v>
      </c>
    </row>
    <row r="36" spans="1:5" x14ac:dyDescent="0.2">
      <c r="A36">
        <v>5</v>
      </c>
      <c r="B36" t="s">
        <v>20</v>
      </c>
      <c r="C36" t="str">
        <f>Sheet1!D45</f>
        <v>N</v>
      </c>
      <c r="D36" t="str">
        <f>Sheet1!G45</f>
        <v>P</v>
      </c>
      <c r="E36" s="1">
        <f>Sheet1!H45</f>
        <v>6.9694444444445836E-4</v>
      </c>
    </row>
    <row r="37" spans="1:5" x14ac:dyDescent="0.2">
      <c r="A37">
        <v>5</v>
      </c>
      <c r="B37" t="s">
        <v>20</v>
      </c>
      <c r="C37" t="str">
        <f>Sheet1!D46</f>
        <v>N</v>
      </c>
      <c r="D37" t="str">
        <f>Sheet1!G46</f>
        <v>P</v>
      </c>
      <c r="E37" s="1">
        <f>Sheet1!H46</f>
        <v>1.9115740740732745E-4</v>
      </c>
    </row>
    <row r="38" spans="1:5" x14ac:dyDescent="0.2">
      <c r="A38">
        <v>5</v>
      </c>
      <c r="B38" t="s">
        <v>20</v>
      </c>
      <c r="C38" t="str">
        <f>Sheet1!D47</f>
        <v>Y</v>
      </c>
      <c r="D38" t="str">
        <f>Sheet1!G47</f>
        <v>F</v>
      </c>
      <c r="E38" s="1">
        <f>Sheet1!H47</f>
        <v>1.1303703703704482E-3</v>
      </c>
    </row>
    <row r="39" spans="1:5" x14ac:dyDescent="0.2">
      <c r="A39">
        <v>5</v>
      </c>
      <c r="B39" t="s">
        <v>20</v>
      </c>
      <c r="C39" t="str">
        <f>Sheet1!D48</f>
        <v>Y</v>
      </c>
      <c r="D39" t="str">
        <f>Sheet1!G48</f>
        <v>P</v>
      </c>
      <c r="E39" s="1">
        <f>Sheet1!H48</f>
        <v>6.9731481481477564E-4</v>
      </c>
    </row>
    <row r="40" spans="1:5" x14ac:dyDescent="0.2">
      <c r="A40">
        <v>5</v>
      </c>
      <c r="B40" t="s">
        <v>20</v>
      </c>
      <c r="C40" t="str">
        <f>Sheet1!D49</f>
        <v>N</v>
      </c>
      <c r="D40" t="str">
        <f>Sheet1!G49</f>
        <v>F</v>
      </c>
      <c r="E40" s="1">
        <f>Sheet1!H49</f>
        <v>3.6572916666671729E-4</v>
      </c>
    </row>
    <row r="41" spans="1:5" x14ac:dyDescent="0.2">
      <c r="A41">
        <v>5</v>
      </c>
      <c r="B41" t="s">
        <v>20</v>
      </c>
      <c r="C41" t="str">
        <f>Sheet1!D50</f>
        <v>Y</v>
      </c>
      <c r="D41" t="str">
        <f>Sheet1!G50</f>
        <v>P</v>
      </c>
      <c r="E41" s="1">
        <f>Sheet1!H50</f>
        <v>2.1506944444438236E-4</v>
      </c>
    </row>
    <row r="42" spans="1:5" x14ac:dyDescent="0.2">
      <c r="A42">
        <v>5</v>
      </c>
      <c r="B42" t="s">
        <v>20</v>
      </c>
      <c r="C42" t="str">
        <f>Sheet1!D51</f>
        <v>N</v>
      </c>
      <c r="D42" t="str">
        <f>Sheet1!G51</f>
        <v>P</v>
      </c>
      <c r="E42" s="1">
        <f>Sheet1!H51</f>
        <v>2.8336805555556621E-4</v>
      </c>
    </row>
    <row r="43" spans="1:5" x14ac:dyDescent="0.2">
      <c r="A43">
        <v>6</v>
      </c>
      <c r="B43" t="s">
        <v>35</v>
      </c>
      <c r="C43" t="str">
        <f>Sheet1!D52</f>
        <v>Y</v>
      </c>
      <c r="D43" t="str">
        <f>Sheet1!G52</f>
        <v>P</v>
      </c>
      <c r="E43" s="1">
        <f>Sheet1!H52</f>
        <v>8.9156249999999826E-4</v>
      </c>
    </row>
    <row r="44" spans="1:5" x14ac:dyDescent="0.2">
      <c r="A44">
        <v>6</v>
      </c>
      <c r="B44" t="s">
        <v>35</v>
      </c>
      <c r="C44" t="str">
        <f>Sheet1!D53</f>
        <v>N</v>
      </c>
      <c r="D44" t="str">
        <f>Sheet1!G53</f>
        <v>P</v>
      </c>
      <c r="E44" s="1">
        <f>Sheet1!H53</f>
        <v>4.6932870370364199E-4</v>
      </c>
    </row>
    <row r="45" spans="1:5" x14ac:dyDescent="0.2">
      <c r="A45">
        <v>6</v>
      </c>
      <c r="B45" t="s">
        <v>35</v>
      </c>
      <c r="C45" t="str">
        <f>Sheet1!D54</f>
        <v>Y</v>
      </c>
      <c r="D45" t="str">
        <f>Sheet1!G54</f>
        <v>P</v>
      </c>
      <c r="E45" s="1">
        <f>Sheet1!H54</f>
        <v>1.2758217592593324E-3</v>
      </c>
    </row>
    <row r="46" spans="1:5" x14ac:dyDescent="0.2">
      <c r="A46">
        <v>6</v>
      </c>
      <c r="B46" t="s">
        <v>35</v>
      </c>
      <c r="C46" t="str">
        <f>Sheet1!D55</f>
        <v>N</v>
      </c>
      <c r="D46" t="str">
        <f>Sheet1!G55</f>
        <v>P</v>
      </c>
      <c r="E46" s="1">
        <f>Sheet1!H55</f>
        <v>5.4494212962963307E-4</v>
      </c>
    </row>
    <row r="47" spans="1:5" x14ac:dyDescent="0.2">
      <c r="A47">
        <v>6</v>
      </c>
      <c r="B47" t="s">
        <v>35</v>
      </c>
      <c r="C47" t="str">
        <f>Sheet1!D56</f>
        <v>N</v>
      </c>
      <c r="D47" t="str">
        <f>Sheet1!G56</f>
        <v>P</v>
      </c>
      <c r="E47" s="1">
        <f>Sheet1!H56</f>
        <v>2.9319444444442233E-4</v>
      </c>
    </row>
    <row r="48" spans="1:5" x14ac:dyDescent="0.2">
      <c r="A48">
        <v>7</v>
      </c>
      <c r="B48" t="s">
        <v>31</v>
      </c>
      <c r="C48" t="str">
        <f>Sheet1!D57</f>
        <v>Y</v>
      </c>
      <c r="D48" t="str">
        <f>Sheet1!G57</f>
        <v>P</v>
      </c>
      <c r="E48" s="1">
        <f>Sheet1!H57</f>
        <v>2.9185185185176543E-4</v>
      </c>
    </row>
    <row r="49" spans="1:5" x14ac:dyDescent="0.2">
      <c r="A49">
        <v>7</v>
      </c>
      <c r="B49" t="s">
        <v>31</v>
      </c>
      <c r="C49" t="str">
        <f>Sheet1!D58</f>
        <v>N</v>
      </c>
      <c r="D49" t="str">
        <f>Sheet1!G58</f>
        <v>P</v>
      </c>
      <c r="E49" s="1">
        <f>Sheet1!H58</f>
        <v>1.3251157407412339E-4</v>
      </c>
    </row>
    <row r="50" spans="1:5" x14ac:dyDescent="0.2">
      <c r="A50">
        <v>7</v>
      </c>
      <c r="B50" t="s">
        <v>31</v>
      </c>
      <c r="C50" t="str">
        <f>Sheet1!D59</f>
        <v>N</v>
      </c>
      <c r="D50" t="str">
        <f>Sheet1!G59</f>
        <v>P</v>
      </c>
      <c r="E50" s="1">
        <f>Sheet1!H59</f>
        <v>1.4216435185188114E-4</v>
      </c>
    </row>
    <row r="51" spans="1:5" x14ac:dyDescent="0.2">
      <c r="A51">
        <v>7</v>
      </c>
      <c r="B51" t="s">
        <v>31</v>
      </c>
      <c r="C51" t="str">
        <f>Sheet1!D60</f>
        <v>Y</v>
      </c>
      <c r="D51" t="str">
        <f>Sheet1!G60</f>
        <v>P</v>
      </c>
      <c r="E51" s="1">
        <f>Sheet1!H60</f>
        <v>1.8518518518517713E-4</v>
      </c>
    </row>
    <row r="52" spans="1:5" x14ac:dyDescent="0.2">
      <c r="A52">
        <v>7</v>
      </c>
      <c r="B52" t="s">
        <v>31</v>
      </c>
      <c r="C52" t="str">
        <f>Sheet1!D61</f>
        <v>N</v>
      </c>
      <c r="D52" t="str">
        <f>Sheet1!G61</f>
        <v>P</v>
      </c>
      <c r="E52" s="1">
        <f>Sheet1!H61</f>
        <v>1.4023148148145648E-4</v>
      </c>
    </row>
    <row r="53" spans="1:5" x14ac:dyDescent="0.2">
      <c r="A53">
        <v>7</v>
      </c>
      <c r="B53" t="s">
        <v>31</v>
      </c>
      <c r="C53" t="str">
        <f>Sheet1!D62</f>
        <v>Y</v>
      </c>
      <c r="D53" t="str">
        <f>Sheet1!G62</f>
        <v>P</v>
      </c>
      <c r="E53" s="1">
        <f>Sheet1!H62</f>
        <v>3.6920138888885123E-4</v>
      </c>
    </row>
    <row r="54" spans="1:5" x14ac:dyDescent="0.2">
      <c r="A54">
        <v>8</v>
      </c>
      <c r="B54" t="s">
        <v>22</v>
      </c>
      <c r="C54" t="str">
        <f>Sheet1!D63</f>
        <v>N</v>
      </c>
      <c r="D54" t="str">
        <f>Sheet1!G63</f>
        <v>P</v>
      </c>
      <c r="E54" s="1">
        <f>Sheet1!H63</f>
        <v>5.0018518518518684E-4</v>
      </c>
    </row>
    <row r="55" spans="1:5" x14ac:dyDescent="0.2">
      <c r="A55">
        <v>8</v>
      </c>
      <c r="B55" t="s">
        <v>22</v>
      </c>
      <c r="C55" t="str">
        <f>Sheet1!D64</f>
        <v>N</v>
      </c>
      <c r="D55" t="str">
        <f>Sheet1!G64</f>
        <v>F</v>
      </c>
      <c r="E55" s="1">
        <f>Sheet1!H64</f>
        <v>1.8093749999992248E-4</v>
      </c>
    </row>
    <row r="56" spans="1:5" x14ac:dyDescent="0.2">
      <c r="A56">
        <v>8</v>
      </c>
      <c r="B56" t="s">
        <v>22</v>
      </c>
      <c r="C56" t="str">
        <f>Sheet1!D65</f>
        <v>Y</v>
      </c>
      <c r="D56" t="str">
        <f>Sheet1!G65</f>
        <v>P</v>
      </c>
      <c r="E56" s="1">
        <f>Sheet1!H65</f>
        <v>3.7556712962966143E-4</v>
      </c>
    </row>
    <row r="57" spans="1:5" x14ac:dyDescent="0.2">
      <c r="A57">
        <v>8</v>
      </c>
      <c r="B57" t="s">
        <v>22</v>
      </c>
      <c r="C57" t="str">
        <f>Sheet1!D66</f>
        <v>Y</v>
      </c>
      <c r="D57" t="str">
        <f>Sheet1!G66</f>
        <v>F</v>
      </c>
      <c r="E57" s="1">
        <f>Sheet1!H66</f>
        <v>2.3957175925926055E-4</v>
      </c>
    </row>
    <row r="58" spans="1:5" x14ac:dyDescent="0.2">
      <c r="A58">
        <v>8</v>
      </c>
      <c r="B58" t="s">
        <v>22</v>
      </c>
      <c r="C58" t="str">
        <f>Sheet1!D67</f>
        <v>N</v>
      </c>
      <c r="D58" t="str">
        <f>Sheet1!G67</f>
        <v>P</v>
      </c>
      <c r="E58" s="1">
        <f>Sheet1!H67</f>
        <v>5.6306712962961303E-4</v>
      </c>
    </row>
    <row r="59" spans="1:5" x14ac:dyDescent="0.2">
      <c r="A59">
        <v>8</v>
      </c>
      <c r="B59" t="s">
        <v>22</v>
      </c>
      <c r="C59" t="str">
        <f>Sheet1!D68</f>
        <v>Y</v>
      </c>
      <c r="D59" t="str">
        <f>Sheet1!G68</f>
        <v>P</v>
      </c>
      <c r="E59" s="1">
        <f>Sheet1!H68</f>
        <v>3.2039351851853581E-4</v>
      </c>
    </row>
    <row r="60" spans="1:5" x14ac:dyDescent="0.2">
      <c r="A60">
        <v>9</v>
      </c>
      <c r="B60" t="s">
        <v>23</v>
      </c>
      <c r="C60" t="str">
        <f>Sheet1!D69</f>
        <v>Y</v>
      </c>
      <c r="D60" t="str">
        <f>Sheet1!G69</f>
        <v>F</v>
      </c>
      <c r="E60" s="1">
        <f>Sheet1!H69</f>
        <v>7.0986111111115413E-4</v>
      </c>
    </row>
    <row r="61" spans="1:5" x14ac:dyDescent="0.2">
      <c r="A61">
        <v>9</v>
      </c>
      <c r="B61" t="s">
        <v>23</v>
      </c>
      <c r="C61" t="str">
        <f>Sheet1!D70</f>
        <v>Y</v>
      </c>
      <c r="D61" t="str">
        <f>Sheet1!G70</f>
        <v>P</v>
      </c>
      <c r="E61" s="1">
        <f>Sheet1!H70</f>
        <v>3.3872685185187823E-4</v>
      </c>
    </row>
    <row r="62" spans="1:5" x14ac:dyDescent="0.2">
      <c r="A62">
        <v>9</v>
      </c>
      <c r="B62" t="s">
        <v>23</v>
      </c>
      <c r="C62" t="str">
        <f>Sheet1!D71</f>
        <v>N</v>
      </c>
      <c r="D62" t="str">
        <f>Sheet1!G71</f>
        <v>P</v>
      </c>
      <c r="E62" s="1">
        <f>Sheet1!H71</f>
        <v>7.2298611111110134E-4</v>
      </c>
    </row>
    <row r="63" spans="1:5" x14ac:dyDescent="0.2">
      <c r="A63">
        <v>9</v>
      </c>
      <c r="B63" t="s">
        <v>23</v>
      </c>
      <c r="C63" t="str">
        <f>Sheet1!D72</f>
        <v>N</v>
      </c>
      <c r="D63" t="str">
        <f>Sheet1!G72</f>
        <v>P</v>
      </c>
      <c r="E63" s="1">
        <f>Sheet1!H72</f>
        <v>2.4806712962960331E-4</v>
      </c>
    </row>
    <row r="64" spans="1:5" x14ac:dyDescent="0.2">
      <c r="A64">
        <v>9</v>
      </c>
      <c r="B64" t="s">
        <v>23</v>
      </c>
      <c r="C64" t="str">
        <f>Sheet1!D73</f>
        <v>Y</v>
      </c>
      <c r="D64" t="str">
        <f>Sheet1!G73</f>
        <v>P</v>
      </c>
      <c r="E64" s="1">
        <f>Sheet1!H73</f>
        <v>2.3186342592584896E-4</v>
      </c>
    </row>
    <row r="65" spans="1:5" x14ac:dyDescent="0.2">
      <c r="A65">
        <v>9</v>
      </c>
      <c r="B65" t="s">
        <v>23</v>
      </c>
      <c r="C65" t="str">
        <f>Sheet1!D74</f>
        <v>N</v>
      </c>
      <c r="D65" t="str">
        <f>Sheet1!G74</f>
        <v>P</v>
      </c>
      <c r="E65" s="1">
        <f>Sheet1!H74</f>
        <v>1.6126157407414521E-4</v>
      </c>
    </row>
    <row r="66" spans="1:5" x14ac:dyDescent="0.2">
      <c r="A66">
        <v>9</v>
      </c>
      <c r="B66" t="s">
        <v>23</v>
      </c>
      <c r="C66" t="str">
        <f>Sheet1!D75</f>
        <v>Y</v>
      </c>
      <c r="D66" t="str">
        <f>Sheet1!G75</f>
        <v>P</v>
      </c>
      <c r="E66" s="1">
        <f>Sheet1!H75</f>
        <v>2.7700231481481152E-4</v>
      </c>
    </row>
    <row r="67" spans="1:5" x14ac:dyDescent="0.2">
      <c r="A67">
        <v>10</v>
      </c>
      <c r="B67" t="s">
        <v>31</v>
      </c>
      <c r="C67" t="str">
        <f>Sheet1!D76</f>
        <v>N</v>
      </c>
      <c r="D67" t="str">
        <f>Sheet1!G76</f>
        <v>P</v>
      </c>
      <c r="E67" s="1">
        <f>Sheet1!H76</f>
        <v>1.7149305555552719E-4</v>
      </c>
    </row>
    <row r="68" spans="1:5" x14ac:dyDescent="0.2">
      <c r="A68">
        <v>10</v>
      </c>
      <c r="B68" t="s">
        <v>31</v>
      </c>
      <c r="C68" t="str">
        <f>Sheet1!D77</f>
        <v>N</v>
      </c>
      <c r="D68" t="str">
        <f>Sheet1!G77</f>
        <v>P</v>
      </c>
      <c r="E68" s="1">
        <f>Sheet1!H77</f>
        <v>2.9262731481483062E-4</v>
      </c>
    </row>
    <row r="69" spans="1:5" x14ac:dyDescent="0.2">
      <c r="A69">
        <v>10</v>
      </c>
      <c r="B69" t="s">
        <v>31</v>
      </c>
      <c r="C69" t="str">
        <f>Sheet1!D78</f>
        <v>Y</v>
      </c>
      <c r="D69" t="str">
        <f>Sheet1!G78</f>
        <v>P</v>
      </c>
      <c r="E69" s="1">
        <f>Sheet1!H78</f>
        <v>2.8163194444441597E-4</v>
      </c>
    </row>
    <row r="70" spans="1:5" x14ac:dyDescent="0.2">
      <c r="A70">
        <v>10</v>
      </c>
      <c r="B70" t="s">
        <v>31</v>
      </c>
      <c r="C70" t="str">
        <f>Sheet1!D79</f>
        <v>Y</v>
      </c>
      <c r="D70" t="str">
        <f>Sheet1!G79</f>
        <v>P</v>
      </c>
      <c r="E70" s="1">
        <f>Sheet1!H79</f>
        <v>4.6835648148146891E-4</v>
      </c>
    </row>
    <row r="71" spans="1:5" x14ac:dyDescent="0.2">
      <c r="A71">
        <v>10</v>
      </c>
      <c r="B71" t="s">
        <v>31</v>
      </c>
      <c r="C71" t="str">
        <f>Sheet1!D80</f>
        <v>Y</v>
      </c>
      <c r="D71" t="str">
        <f>Sheet1!G80</f>
        <v>P</v>
      </c>
      <c r="E71" s="1">
        <f>Sheet1!H80</f>
        <v>3.9100694444438311E-4</v>
      </c>
    </row>
    <row r="72" spans="1:5" x14ac:dyDescent="0.2">
      <c r="A72">
        <v>10</v>
      </c>
      <c r="B72" t="s">
        <v>31</v>
      </c>
      <c r="C72" t="str">
        <f>Sheet1!D81</f>
        <v>N</v>
      </c>
      <c r="D72" t="str">
        <f>Sheet1!G81</f>
        <v>P</v>
      </c>
      <c r="E72" s="1">
        <f>Sheet1!H81</f>
        <v>2.4748842592581255E-4</v>
      </c>
    </row>
    <row r="73" spans="1:5" x14ac:dyDescent="0.2">
      <c r="A73">
        <v>11</v>
      </c>
      <c r="B73" t="s">
        <v>23</v>
      </c>
      <c r="C73" t="str">
        <f>Sheet1!D82</f>
        <v>Y</v>
      </c>
      <c r="D73" t="str">
        <f>Sheet1!G82</f>
        <v>P</v>
      </c>
      <c r="E73" s="1">
        <f>Sheet1!H82</f>
        <v>1.6203703703698835E-4</v>
      </c>
    </row>
    <row r="74" spans="1:5" x14ac:dyDescent="0.2">
      <c r="A74">
        <v>11</v>
      </c>
      <c r="B74" t="s">
        <v>23</v>
      </c>
      <c r="C74" t="str">
        <f>Sheet1!D83</f>
        <v>N</v>
      </c>
      <c r="D74" t="str">
        <f>Sheet1!G83</f>
        <v>P</v>
      </c>
      <c r="E74" s="1">
        <f>Sheet1!H83</f>
        <v>1.6607638888888054E-4</v>
      </c>
    </row>
    <row r="75" spans="1:5" x14ac:dyDescent="0.2">
      <c r="A75">
        <v>11</v>
      </c>
      <c r="B75" t="s">
        <v>23</v>
      </c>
      <c r="C75" t="str">
        <f>Sheet1!D84</f>
        <v>Y</v>
      </c>
      <c r="D75" t="str">
        <f>Sheet1!G84</f>
        <v>P</v>
      </c>
      <c r="E75" s="1">
        <f>Sheet1!H84</f>
        <v>1.2711805555554179E-4</v>
      </c>
    </row>
    <row r="76" spans="1:5" x14ac:dyDescent="0.2">
      <c r="A76">
        <v>11</v>
      </c>
      <c r="B76" t="s">
        <v>23</v>
      </c>
      <c r="C76" t="str">
        <f>Sheet1!D85</f>
        <v>Y</v>
      </c>
      <c r="D76" t="str">
        <f>Sheet1!G85</f>
        <v>P</v>
      </c>
      <c r="E76" s="1">
        <f>Sheet1!H85</f>
        <v>1.4003472222223756E-4</v>
      </c>
    </row>
    <row r="77" spans="1:5" x14ac:dyDescent="0.2">
      <c r="A77">
        <v>11</v>
      </c>
      <c r="B77" t="s">
        <v>23</v>
      </c>
      <c r="C77" t="str">
        <f>Sheet1!D86</f>
        <v>N</v>
      </c>
      <c r="D77" t="str">
        <f>Sheet1!G86</f>
        <v>P</v>
      </c>
      <c r="E77" s="1">
        <f>Sheet1!H86</f>
        <v>1.7475694444446521E-4</v>
      </c>
    </row>
    <row r="78" spans="1:5" x14ac:dyDescent="0.2">
      <c r="A78">
        <v>11</v>
      </c>
      <c r="B78" t="s">
        <v>23</v>
      </c>
      <c r="C78" t="str">
        <f>Sheet1!D87</f>
        <v>N</v>
      </c>
      <c r="D78" t="str">
        <f>Sheet1!G87</f>
        <v>P</v>
      </c>
      <c r="E78" s="1">
        <f>Sheet1!H87</f>
        <v>2.3320601851850586E-4</v>
      </c>
    </row>
    <row r="79" spans="1:5" x14ac:dyDescent="0.2">
      <c r="E7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Christian Baker</dc:creator>
  <cp:keywords/>
  <dc:description/>
  <cp:lastModifiedBy>Christian Baker</cp:lastModifiedBy>
  <cp:revision/>
  <dcterms:created xsi:type="dcterms:W3CDTF">2025-01-09T16:21:19Z</dcterms:created>
  <dcterms:modified xsi:type="dcterms:W3CDTF">2025-12-17T11:56:27Z</dcterms:modified>
  <cp:category/>
  <cp:contentStatus/>
</cp:coreProperties>
</file>